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ycho.rusinov\Desktop\inbreeding\data\"/>
    </mc:Choice>
  </mc:AlternateContent>
  <xr:revisionPtr revIDLastSave="0" documentId="13_ncr:1_{5D8678AC-1861-4E82-A903-7B5452D6F931}" xr6:coauthVersionLast="36" xr6:coauthVersionMax="36" xr10:uidLastSave="{00000000-0000-0000-0000-000000000000}"/>
  <bookViews>
    <workbookView xWindow="0" yWindow="0" windowWidth="23040" windowHeight="8148" tabRatio="785" xr2:uid="{C6FBF984-0647-43F8-9E0B-FC7BC60D6D1A}"/>
  </bookViews>
  <sheets>
    <sheet name="main_database" sheetId="1" r:id="rId1"/>
    <sheet name="graph" sheetId="7" r:id="rId2"/>
    <sheet name="Висша администрация" sheetId="3" r:id="rId3"/>
    <sheet name="общо събрание" sheetId="4" r:id="rId4"/>
    <sheet name=" Учебната комисия" sheetId="5" r:id="rId5"/>
    <sheet name="комисия по атестация" sheetId="6" r:id="rId6"/>
    <sheet name="Администрация" sheetId="2" r:id="rId7"/>
  </sheets>
  <definedNames>
    <definedName name="eztoc197723_2" localSheetId="3">'общо събрание'!$A$4</definedName>
    <definedName name="eztoc197723_3" localSheetId="3">'общо събрание'!$A$7</definedName>
    <definedName name="eztoc197723_4" localSheetId="3">'общо събрание'!$A$15</definedName>
    <definedName name="eztoc197723_5" localSheetId="3">'общо събрание'!$A$23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8" i="1" l="1"/>
  <c r="Q8" i="1" l="1"/>
  <c r="Q2" i="1" l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2" i="1"/>
  <c r="Q37" i="1" l="1"/>
  <c r="B19" i="5" l="1"/>
  <c r="Q9" i="1" l="1"/>
  <c r="Q4" i="1"/>
  <c r="Q5" i="1"/>
  <c r="Q6" i="1"/>
  <c r="Q7" i="1"/>
  <c r="Q10" i="1"/>
  <c r="Q11" i="1"/>
  <c r="Q12" i="1"/>
  <c r="Q13" i="1"/>
  <c r="Q14" i="1"/>
  <c r="Q18" i="1"/>
  <c r="Q20" i="1"/>
  <c r="Q21" i="1"/>
  <c r="Q22" i="1"/>
  <c r="Q23" i="1"/>
  <c r="Q24" i="1"/>
  <c r="Q26" i="1"/>
  <c r="Q27" i="1"/>
  <c r="Q29" i="1"/>
  <c r="Q30" i="1"/>
  <c r="Q31" i="1"/>
  <c r="Q32" i="1"/>
  <c r="Q33" i="1"/>
  <c r="Q38" i="1"/>
  <c r="Q39" i="1"/>
  <c r="Q40" i="1"/>
  <c r="Q41" i="1"/>
  <c r="Q42" i="1"/>
  <c r="Q44" i="1"/>
  <c r="Q45" i="1"/>
  <c r="Q46" i="1"/>
  <c r="Q47" i="1"/>
  <c r="Q48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3" i="1"/>
  <c r="K50" i="1"/>
  <c r="Q50" i="1" s="1"/>
  <c r="K49" i="1"/>
  <c r="Q49" i="1" s="1"/>
  <c r="O25" i="1" l="1"/>
  <c r="P3" i="1" l="1"/>
  <c r="O3" i="1" l="1"/>
  <c r="I3" i="7" l="1"/>
  <c r="J2" i="7"/>
  <c r="I2" i="7"/>
  <c r="H2" i="7"/>
  <c r="G2" i="7"/>
  <c r="C11" i="4"/>
  <c r="H3" i="7" s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F2" i="7" l="1"/>
  <c r="F3" i="7"/>
  <c r="B10" i="3"/>
  <c r="O63" i="1" l="1"/>
  <c r="P63" i="1"/>
  <c r="O64" i="1"/>
  <c r="P64" i="1"/>
  <c r="O65" i="1"/>
  <c r="P65" i="1"/>
  <c r="O66" i="1"/>
  <c r="P66" i="1"/>
  <c r="O67" i="1"/>
  <c r="P67" i="1"/>
  <c r="O68" i="1"/>
  <c r="O61" i="1"/>
  <c r="P61" i="1"/>
  <c r="O62" i="1"/>
  <c r="P62" i="1"/>
  <c r="O55" i="1"/>
  <c r="P55" i="1"/>
  <c r="O56" i="1"/>
  <c r="P56" i="1"/>
  <c r="O57" i="1"/>
  <c r="P57" i="1"/>
  <c r="O58" i="1"/>
  <c r="P58" i="1"/>
  <c r="O59" i="1"/>
  <c r="P59" i="1"/>
  <c r="O60" i="1"/>
  <c r="P60" i="1"/>
  <c r="O54" i="1"/>
  <c r="P54" i="1"/>
  <c r="O52" i="1"/>
  <c r="P52" i="1"/>
  <c r="O53" i="1"/>
  <c r="P53" i="1"/>
  <c r="P51" i="1"/>
  <c r="O51" i="1"/>
  <c r="P37" i="1"/>
  <c r="P38" i="1"/>
  <c r="P39" i="1"/>
  <c r="P40" i="1"/>
  <c r="P41" i="1"/>
  <c r="P42" i="1"/>
  <c r="P44" i="1"/>
  <c r="P45" i="1"/>
  <c r="P46" i="1"/>
  <c r="P47" i="1"/>
  <c r="P48" i="1"/>
  <c r="P49" i="1"/>
  <c r="P50" i="1"/>
  <c r="P32" i="1"/>
  <c r="P33" i="1"/>
  <c r="P21" i="1"/>
  <c r="P22" i="1"/>
  <c r="P23" i="1"/>
  <c r="P24" i="1"/>
  <c r="C5" i="3" s="1"/>
  <c r="C10" i="3" s="1"/>
  <c r="P26" i="1"/>
  <c r="P27" i="1"/>
  <c r="P29" i="1"/>
  <c r="P30" i="1"/>
  <c r="P31" i="1"/>
  <c r="P18" i="1"/>
  <c r="P19" i="1"/>
  <c r="P20" i="1"/>
  <c r="P10" i="1"/>
  <c r="P11" i="1"/>
  <c r="P12" i="1"/>
  <c r="P13" i="1"/>
  <c r="P14" i="1"/>
  <c r="P4" i="1"/>
  <c r="P5" i="1"/>
  <c r="P6" i="1"/>
  <c r="P7" i="1"/>
  <c r="P8" i="1"/>
  <c r="P9" i="1"/>
  <c r="K34" i="1"/>
  <c r="K36" i="1"/>
  <c r="K35" i="1"/>
  <c r="K15" i="1"/>
  <c r="K16" i="1"/>
  <c r="K17" i="1"/>
  <c r="P35" i="1" l="1"/>
  <c r="Q35" i="1"/>
  <c r="P36" i="1"/>
  <c r="Q36" i="1"/>
  <c r="P34" i="1"/>
  <c r="Q34" i="1"/>
  <c r="P17" i="1"/>
  <c r="Q17" i="1"/>
  <c r="P16" i="1"/>
  <c r="Q16" i="1"/>
  <c r="P15" i="1"/>
  <c r="Q15" i="1"/>
  <c r="E3" i="7"/>
  <c r="D3" i="7"/>
  <c r="E2" i="7"/>
  <c r="B18" i="5"/>
  <c r="B13" i="6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2" i="1"/>
  <c r="D2" i="7" l="1"/>
  <c r="B3" i="7"/>
  <c r="C3" i="7"/>
  <c r="C2" i="7"/>
  <c r="B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Stoycho Rusinov</author>
  </authors>
  <commentList>
    <comment ref="R2" authorId="0" shapeId="0" xr:uid="{6717E611-5F90-4488-93E3-D1E6EA806DBD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this need to be corrected with the correct percentiles 
</t>
        </r>
      </text>
    </comment>
    <comment ref="C6" authorId="0" shapeId="0" xr:uid="{BDB013E1-1BAC-4935-BE26-7BBA2C770049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Не се знае дали това е тя, но профилът съответства на нейните данни, виж CV за всеки случай</t>
        </r>
      </text>
    </comment>
    <comment ref="K6" authorId="0" shapeId="0" xr:uid="{AAD0C43C-9223-46DB-ACA0-78B854BE6752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dsc</t>
        </r>
      </text>
    </comment>
    <comment ref="L8" authorId="0" shapeId="0" xr:uid="{57A3ED02-2F37-4681-AB84-0E33E893B211}">
      <text>
        <r>
          <rPr>
            <b/>
            <sz val="9"/>
            <color indexed="81"/>
            <rFont val="Tahoma"/>
            <family val="2"/>
            <charset val="204"/>
          </rPr>
          <t>Stoycho Rusinov: гл асистент</t>
        </r>
      </text>
    </comment>
    <comment ref="D12" authorId="0" shapeId="0" xr:uid="{98D7840C-CB15-4A2A-81D1-0C75A8753241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Търсен по ORCHID няма информация</t>
        </r>
      </text>
    </comment>
    <comment ref="K18" authorId="0" shapeId="0" xr:uid="{28EB3B93-D8DF-4F61-AB1B-F8692E6B07F9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две години по-късно става доцент
</t>
        </r>
      </text>
    </comment>
    <comment ref="L24" authorId="0" shapeId="0" xr:uid="{864F99F8-87EE-49F1-BA88-E90ABE4903AB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директно става доцент</t>
        </r>
      </text>
    </comment>
    <comment ref="L29" authorId="0" shapeId="0" xr:uid="{098F0DAB-0EC4-475A-B439-04DB11F5572A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директно главен асистемт - да се свери с данните </t>
        </r>
      </text>
    </comment>
    <comment ref="L31" authorId="0" shapeId="0" xr:uid="{F94F17F4-F707-4C43-8373-3D4E2EB6CE85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става главен асистент веднага след защита</t>
        </r>
      </text>
    </comment>
    <comment ref="A41" authorId="0" shapeId="0" xr:uid="{9C42C189-EEC1-43C2-A31C-EA2159F5893A}">
      <text>
        <r>
          <rPr>
            <b/>
            <sz val="11"/>
            <color indexed="81"/>
            <rFont val="Tahoma"/>
            <family val="2"/>
            <charset val="204"/>
          </rPr>
          <t>Stoycho Rusinov:</t>
        </r>
        <r>
          <rPr>
            <sz val="11"/>
            <color indexed="81"/>
            <rFont val="Tahoma"/>
            <family val="2"/>
            <charset val="204"/>
          </rPr>
          <t xml:space="preserve">
https://www.economic.bg/bg/a/view/tri-klyuchovi-ostavki-v-rakovodstvoto-na-sofijski-universitet-77712</t>
        </r>
      </text>
    </comment>
    <comment ref="I44" authorId="0" shapeId="0" xr:uid="{7363AFE2-FF2A-4014-860A-CCFD1E6C5F8F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Катедрата, в която е вписано, че е придобил ОНС "Доктор" е "икономика и управление на отрасли" такава катедра в Стоп. Фак се появява 2008, значи най-вероятно е завършил УНСС
</t>
        </r>
      </text>
    </comment>
    <comment ref="I53" authorId="0" shapeId="0" xr:uid="{E0BB319F-ACC3-4994-AF80-7D9217720B76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Манол Рибов e от УНСС, дисертацията също е вписана към катедра, която не е съществувала преди</t>
        </r>
      </text>
    </comment>
    <comment ref="F54" authorId="0" shapeId="0" xr:uid="{41D966AA-D81E-4685-9A43-F3F96CBDBDED}">
      <text>
        <r>
          <rPr>
            <b/>
            <sz val="9"/>
            <color indexed="81"/>
            <rFont val="Tahoma"/>
            <family val="2"/>
            <charset val="204"/>
          </rPr>
          <t xml:space="preserve">Stoycho Rusinov: Сотиров е бил инженер, значи дисертацията със сигурност не е създадена в стопанския факултет https://ras.nacid.bg/dissertation-preview/10942 </t>
        </r>
      </text>
    </comment>
    <comment ref="L55" authorId="0" shapeId="0" xr:uid="{2CCA23A0-9FFF-409B-A041-FADB68DE31AD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приближение</t>
        </r>
      </text>
    </comment>
    <comment ref="I57" authorId="0" shapeId="0" xr:uid="{9FBA812D-3D9C-4828-B383-EB51A0C6FFC1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Със сигурност не е в стопанския факултет, защото темата на дисертацията не е в 3.8 или 3.7</t>
        </r>
      </text>
    </comment>
    <comment ref="A59" authorId="0" shapeId="0" xr:uid="{09F7C91E-1E4F-4739-8F03-BEC782CEE601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Пише се вече Дияна Тишова, защото се е сгодила (сигурно) </t>
        </r>
      </text>
    </comment>
    <comment ref="I59" authorId="0" shapeId="0" xr:uid="{0289B598-9386-4176-B677-A2F637BD7272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https://plus-legacy.cobiss.net/cobiss/bg/bg/bib/1254426596#full</t>
        </r>
      </text>
    </comment>
    <comment ref="K59" authorId="0" shapeId="0" xr:uid="{93F81B17-4951-4FF8-AC17-77C724C574FC}">
      <text>
        <r>
          <rPr>
            <b/>
            <sz val="9"/>
            <color indexed="81"/>
            <rFont val="Tahoma"/>
            <family val="2"/>
            <charset val="204"/>
          </rPr>
          <t xml:space="preserve">Stoycho Rusinov: НАЦИД
</t>
        </r>
      </text>
    </comment>
    <comment ref="L59" authorId="0" shapeId="0" xr:uid="{42E61266-C530-4C97-8DCC-E7A3653BF27D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НАЦИД
</t>
        </r>
      </text>
    </comment>
    <comment ref="I62" authorId="0" shapeId="0" xr:uid="{B02E8442-2194-435F-A590-50166C988C8D}">
      <text>
        <r>
          <rPr>
            <b/>
            <sz val="9"/>
            <color indexed="81"/>
            <rFont val="Tahoma"/>
            <family val="2"/>
            <charset val="204"/>
          </rPr>
          <t>Stoycho Rusinov: https://plus-legacy.cobiss.net/cobiss/bg/bg/bib/1230610404#full</t>
        </r>
      </text>
    </comment>
  </commentList>
</comments>
</file>

<file path=xl/sharedStrings.xml><?xml version="1.0" encoding="utf-8"?>
<sst xmlns="http://schemas.openxmlformats.org/spreadsheetml/2006/main" count="984" uniqueCount="505">
  <si>
    <t>CV</t>
  </si>
  <si>
    <t>https://www.uni-sofia.bg/index.php/bul/content/download/346778/2228517/version/1/file/CV+DZlatinov+BG+18.01.2026.pdf</t>
  </si>
  <si>
    <t>Academic_title</t>
  </si>
  <si>
    <t>Доц.</t>
  </si>
  <si>
    <t>https://www.uni-sofia.bg/index.php/bul/universitet_t/fakulteti/stopanski_fakultet/katedri_i_akademichen_s_stav/katedri/ikonomika/prepodavateli_katedra_ikonomika/prof_d_r_teodor_sedlarski</t>
  </si>
  <si>
    <t>д-р Теодор Седларски</t>
  </si>
  <si>
    <t xml:space="preserve">Проф. </t>
  </si>
  <si>
    <t>д-р Ваня Иванова</t>
  </si>
  <si>
    <t>https://www.uni-sofia.bg/index.php/bul/content/download/276848/1810560/version/1/file/CV-V.Ivanova.pdf</t>
  </si>
  <si>
    <t>https://www.uni-sofia.bg/index.php/bul/content/download/262963/1727823/version/1/file/CV-MB-bg+%281%29.pdf</t>
  </si>
  <si>
    <t xml:space="preserve"> д-р Милен Велушев</t>
  </si>
  <si>
    <t>https://www.uni-sofia.bg/index.php/bul/universitet_t/fakulteti/stopanski_fakultet/katedri_i_akademichen_s_stav/katedri/ikonomika/prepodavateli_katedra_ikonomika/doc_d_r_sonya_cvetanova_georgieva</t>
  </si>
  <si>
    <t>д-р Соня Цветанова Георгиева</t>
  </si>
  <si>
    <t xml:space="preserve">Доц. </t>
  </si>
  <si>
    <t>https://www.uni-sofia.bg/index.php/bul/content/download/294794/1919570/version/1/file/CV+-+%D0%A6%D0%B2%D0%B5%D1%82%D0%B0%D0%BD+%D0%9C%D0%B0%D0%B4%D0%B0%D0%BD%D1%81%D0%BA%D0%B8.pdf</t>
  </si>
  <si>
    <t>д-р Цветан Мадански</t>
  </si>
  <si>
    <t>https://www.uni-sofia.bg/index.php/bul/content/download/253422/1669051/version/1/file/CV_Stela+Raleva__Bg.pdf</t>
  </si>
  <si>
    <t>д-р Стела Ралева</t>
  </si>
  <si>
    <t>https://www.uni-sofia.bg/index.php/bul/content/download/261454/1718561/version/1/file/CV+Daniel+Kasabov+-+BG.pdf</t>
  </si>
  <si>
    <t>д-р Даниел Касабов</t>
  </si>
  <si>
    <t xml:space="preserve">Гл. ас. </t>
  </si>
  <si>
    <t>https://www.uni-sofia.bg/index.php/bul/content/download/249378/1644449/version/1/file/%D0%98%D0%BB%D0%B8%D1%8F+%D0%90%D1%82%D0%B0%D0%BD%D0%B0%D1%81%D0%BE%D0%B2+CV-BG.pdf</t>
  </si>
  <si>
    <t>д-р Илия Атанасов</t>
  </si>
  <si>
    <t>https://www.uni-sofia.bg/index.php/bul/content/download/296762/1931221/version/1/file/CV+BG+-+%D0%A0%D0%BE%D1%81%D0%B8%D1%86%D0%B0+%D0%97%D0%BB%D0%B0%D1%82%D0%B8%D0%BD%D1%81%D0%BA%D0%B0.pdf</t>
  </si>
  <si>
    <t>д-р Росица Златинска</t>
  </si>
  <si>
    <t>https://www.uni-sofia.bg/index.php/bul/content/download/295181/1922122/version/1/file/Lyuben+Ivanov+CV+%28bg%29.pdf</t>
  </si>
  <si>
    <t>д-р Любен Иванов</t>
  </si>
  <si>
    <t>https://www.uni-sofia.bg/index.php/bul/content/download/249404/1644567/version/1/file/3.CV_BG+5.pdf</t>
  </si>
  <si>
    <t>д-р Стоян Шаламанов</t>
  </si>
  <si>
    <t>https://www.uni-sofia.bg/index.php/bul/content/download/297402/1935034/version/1/file/CV+-+%D0%A0%D0%B0%D0%B4%D0%BE%D1%81%D1%82%D0%B8%D0%BD%D0%B0+%D0%98%D0%B2%D1%87%D0%B5%D0%B2%D0%B0.pdf</t>
  </si>
  <si>
    <t>д-р Радостина Ивчева-Георгиева</t>
  </si>
  <si>
    <t xml:space="preserve">Ас. </t>
  </si>
  <si>
    <t>No</t>
  </si>
  <si>
    <t>Диляна Славова</t>
  </si>
  <si>
    <t>https://www.uni-sofia.bg/index.php/bul/content/download/297404/1935042/version/1/file/IL_CV_BG.pdf</t>
  </si>
  <si>
    <t>Илия Лингорски</t>
  </si>
  <si>
    <t>https://www.uni-sofia.bg/index.php/bul/content/download/279136/1824366/version/1/file/CV_Lidiya+Kabatliyska_BG.pdf</t>
  </si>
  <si>
    <t>Лидия Кабатлийска-Андонова</t>
  </si>
  <si>
    <t>Name</t>
  </si>
  <si>
    <t>Department</t>
  </si>
  <si>
    <t>Economics</t>
  </si>
  <si>
    <t>PHD_from_FEBA</t>
  </si>
  <si>
    <t>WORKED_OUTSIDE_OF_FEBA</t>
  </si>
  <si>
    <t>YES</t>
  </si>
  <si>
    <t>NO</t>
  </si>
  <si>
    <t>NO INFO</t>
  </si>
  <si>
    <t>PHD_FROM_UNWE</t>
  </si>
  <si>
    <t>BA</t>
  </si>
  <si>
    <t>https://www.uni-sofia.bg/index.php/bul/content/download/253686/1670765/version/1/file/0d_CV_%D0%96%D0%B5%D0%BB%D1%8E_%D0%92%D0%BB%D0%B0%D0%B4%D0%B8%D0%BC%D0%B8%D1%80%D0%BE%D0%B2_%D0%A1%D1%82%D0%A4.pdf</t>
  </si>
  <si>
    <t>д.ик.н. Желю Владимиров</t>
  </si>
  <si>
    <t>https://www.uni-sofia.bg/index.php/bul/content/download/56798/466586/version/2/file/CV-NevyanaKrusteva2011.pdf</t>
  </si>
  <si>
    <t>д.ик.н. Невяна Кръстева</t>
  </si>
  <si>
    <t>https://www.uni-sofia.bg/index.php/bul/content/download/233490/1553846/version/1/file/CV_DYordanova.pdf</t>
  </si>
  <si>
    <t>д.ик.н. Десислава Йорданова</t>
  </si>
  <si>
    <t>д-р Владя Борисова</t>
  </si>
  <si>
    <t>д-р Мирослава Христова</t>
  </si>
  <si>
    <t>https://csd.eu/bg/experts/expert/Todor-Yalamov/</t>
  </si>
  <si>
    <t>д-р Тодор Ялъмов</t>
  </si>
  <si>
    <t>д-р Ия Петкова</t>
  </si>
  <si>
    <t>д-р Иван Ангелов</t>
  </si>
  <si>
    <t>д-р Иванка Михайлова</t>
  </si>
  <si>
    <t xml:space="preserve"> д-р Рая Каназирева</t>
  </si>
  <si>
    <t>https://www.linkedin.com/in/kiril-velitchkov-phd-7950366/</t>
  </si>
  <si>
    <t xml:space="preserve"> д-р Кирил Величков</t>
  </si>
  <si>
    <t>Гл. ас.</t>
  </si>
  <si>
    <t>д-р Ирена Младенова</t>
  </si>
  <si>
    <t xml:space="preserve"> д-р Алексей Потебня</t>
  </si>
  <si>
    <t>д-р Златина Михайлова</t>
  </si>
  <si>
    <t>https://www.uni-sofia.bg/index.php/bul/content/download/336781/2169050/version/1/file/1.2.+%D0%9D%D0%B8%D0%BA%D0%BE%D0%BB%D0%B5%D1%82%D0%B0+%D0%92%D0%BE%D0%B9%D0%BD%D0%BE%D0%B2%D0%B0-CV-BG-2025.doc</t>
  </si>
  <si>
    <t>https://www.linkedin.com/in/janetnaidenova/</t>
  </si>
  <si>
    <t>Ния Колева-Иванова</t>
  </si>
  <si>
    <t>https://www.uni-sofia.bg/index.php/bul/universitet_t/fakulteti/stopanski_fakultet/katedri_i_akademichen_s_stav/katedri/stopansko_upravlenie/prepodavateli_katedra_stopansko_upravlenie/as_teodor_daskalov</t>
  </si>
  <si>
    <t>Теодор Даскалов</t>
  </si>
  <si>
    <t>д-р Николета Войнова</t>
  </si>
  <si>
    <t>Жанет Найденова</t>
  </si>
  <si>
    <t>Главен инспектор Администрация</t>
  </si>
  <si>
    <t>Десислава Лещарова</t>
  </si>
  <si>
    <t>Секретар на Стопанския факултет</t>
  </si>
  <si>
    <t>Маргарита Тодорова</t>
  </si>
  <si>
    <t>Инспектор Информационни дейности (СУСИ и eLearn)</t>
  </si>
  <si>
    <t>Мая Тодорова</t>
  </si>
  <si>
    <t>Инспектор Стопански дейности</t>
  </si>
  <si>
    <t>Маргарита Драганова</t>
  </si>
  <si>
    <t>Инспектор Докторанти</t>
  </si>
  <si>
    <t>Илона Цицелкова</t>
  </si>
  <si>
    <t>Анелия Стефанова</t>
  </si>
  <si>
    <t>Инспектор Учебна дейност</t>
  </si>
  <si>
    <t>Мариета Динчева</t>
  </si>
  <si>
    <t>Анита Цанева</t>
  </si>
  <si>
    <t>Йоана Костова</t>
  </si>
  <si>
    <t>Таня Аврамова</t>
  </si>
  <si>
    <t>Инспектор студенти – ОКС Бакалавър</t>
  </si>
  <si>
    <t>Бистра Иванова</t>
  </si>
  <si>
    <t>Работа със студенти: от 10:00 – 12:00 часа; 14:00 – 16:00 часа</t>
  </si>
  <si>
    <t>Инспектори студенти - ОКС Магистър</t>
  </si>
  <si>
    <t>Недялка Милева</t>
  </si>
  <si>
    <t>Добринка Бижева</t>
  </si>
  <si>
    <t>Инспектор студенти - MBA програми</t>
  </si>
  <si>
    <t>Сали Тупева</t>
  </si>
  <si>
    <t>Oтговорен счетоводител</t>
  </si>
  <si>
    <t>Венцислав Стоилов</t>
  </si>
  <si>
    <t>Научен редактор на Стопанския факултет</t>
  </si>
  <si>
    <t>Елеонора Николова</t>
  </si>
  <si>
    <t>Редактор на уеб-сайта на Стопанския факултет</t>
  </si>
  <si>
    <t>Кристина Фортунова</t>
  </si>
  <si>
    <t>Фасилити мениджър / Управител на бл. 3</t>
  </si>
  <si>
    <t>Боян Петров</t>
  </si>
  <si>
    <t>Доц. д-р Атанас Георгиев</t>
  </si>
  <si>
    <t>доц д-р Димитър Златинов - Зам.-декан "Учебна дейност"</t>
  </si>
  <si>
    <t> доц. д-р Марселен Йовоган - Зам.-декан "Международна дейност и университетско сътрудничество"</t>
  </si>
  <si>
    <t> доц. д-р Тодор Ялъмов - Зам.-декан "Научно-изследователската дейност, иновации и проекти"</t>
  </si>
  <si>
    <t>доц. д-р Николай Нетов- Зам.-декан "Дигитална трансформация"</t>
  </si>
  <si>
    <t>доц. д-р Иван Ангелов - Зам.-декан "MBA програми и бизнес обучения"</t>
  </si>
  <si>
    <t>доц. д-р Марина Стефанова - Зам.-декан "Устойчиво развитие, подкрепа и ангажираност"</t>
  </si>
  <si>
    <t>гл.ас. д-р Илия Атанасов - Помощник-декан "Акредитация и рейтинг"</t>
  </si>
  <si>
    <t>Председател на ОС:</t>
  </si>
  <si>
    <t>проф. д-р Надя Велинова-Соколова</t>
  </si>
  <si>
    <t>Зам.-председател на ОС:</t>
  </si>
  <si>
    <t>проф. д.н. Десислава Йорданова</t>
  </si>
  <si>
    <t>Мандатна комисия</t>
  </si>
  <si>
    <t>Председател: доц. д-р Марселен Йовоган</t>
  </si>
  <si>
    <t>Зам. председател: гл. ас. д-р Глория Христова</t>
  </si>
  <si>
    <t>Членове:</t>
  </si>
  <si>
    <t>1. доц. д-р Рая Каназирева</t>
  </si>
  <si>
    <t>2. гл. ас. д-р Илия Атанасов</t>
  </si>
  <si>
    <t>3. гл. ас. д-р Любен Иванов</t>
  </si>
  <si>
    <t>Комисия по предложенията за органи на управление на факултета</t>
  </si>
  <si>
    <t>Председател: проф. д-р Ваня Иванова</t>
  </si>
  <si>
    <t>Зам. председател: доц. д-р Божидар Недев</t>
  </si>
  <si>
    <t>1. доц. д-р Димитър Златинов</t>
  </si>
  <si>
    <t>2. доц. д-р Андрей Василев</t>
  </si>
  <si>
    <t>3. гл. ас. д-р Алексей Потебня</t>
  </si>
  <si>
    <t>Комисия по произвеждане на избори:</t>
  </si>
  <si>
    <t>Председател: доц. д-р Илияна Анкова</t>
  </si>
  <si>
    <t>Зам.-председател: доц. д-р Стела Ралева</t>
  </si>
  <si>
    <t>1. доц. д-р Цветан Мадански</t>
  </si>
  <si>
    <t>2. гл. ас. д-р Николай Кацарски</t>
  </si>
  <si>
    <t>3. гл. ас. д-р Емил Митов</t>
  </si>
  <si>
    <t>4. гл. ас. д-р Ирена Младенова</t>
  </si>
  <si>
    <t>5. гл. ас. д-р Бойко Амаров</t>
  </si>
  <si>
    <t>Председател:</t>
  </si>
  <si>
    <t>доц. д-р Димитър Златинов, Заместник-декан по учебната дейност и ръководител на катедра „Икономика“</t>
  </si>
  <si>
    <t>доц. д-р Атанас Георгиев, Декан на Стопанския факултет</t>
  </si>
  <si>
    <t>доц. д-р Божидар Недев, ръководител на катедра "Финанси и счетоводство"</t>
  </si>
  <si>
    <t>доц. д-р Марина Стефанова, ръководител на катедра "Икономика и управление по отрасли"</t>
  </si>
  <si>
    <t>доц. д-р Николай Нетов, ръководител на катедра "Статистика и иконометрия"</t>
  </si>
  <si>
    <t>доц. д-р Олимпия Ведър, ръководител на катедра „Стопанско управление“</t>
  </si>
  <si>
    <t>проф. д-р Елеонора Станчева-Тодорова, катедра "Финанси и счетоводство"</t>
  </si>
  <si>
    <t>доц. д-р Боряна Пелова, катедра "Статистика и иконометрия"</t>
  </si>
  <si>
    <t>доц. д-р Иванка Михайлова, катедра „Стопанско управление“</t>
  </si>
  <si>
    <t>доц. д-р Соня Георгиева, катедра "Икономика"</t>
  </si>
  <si>
    <t>Десислава Лещарова, Главен инспектор администрация на Стопанския факултет</t>
  </si>
  <si>
    <t>Организационен секретар: Мая Тодорова</t>
  </si>
  <si>
    <t>Председател</t>
  </si>
  <si>
    <t>проф. д.н. Антон Герунов</t>
  </si>
  <si>
    <t>Зам.-председател</t>
  </si>
  <si>
    <t>доц. д-р Стела Ралева</t>
  </si>
  <si>
    <t>1. доц. д-р Божидар Недев</t>
  </si>
  <si>
    <t>2. доц. д-р Деян Радев</t>
  </si>
  <si>
    <t>3. доц. д-р Ия Петкова</t>
  </si>
  <si>
    <t>4. доц. д-р Иванка Михайлова</t>
  </si>
  <si>
    <t>5. гл. ас. д-р Глория Христова</t>
  </si>
  <si>
    <t>Членове</t>
  </si>
  <si>
    <t xml:space="preserve">Всичко </t>
  </si>
  <si>
    <t>Без научни лица</t>
  </si>
  <si>
    <t>Indicator</t>
  </si>
  <si>
    <t>Advisor</t>
  </si>
  <si>
    <t>Мариела Ненова-Амар</t>
  </si>
  <si>
    <t>Теодор Седларски</t>
  </si>
  <si>
    <t>Нансен Бахар</t>
  </si>
  <si>
    <t>https://ras.nacid.bg/dissertation-preview/37884</t>
  </si>
  <si>
    <t>https://ras.nacid.bg/dissertation-preview/23280</t>
  </si>
  <si>
    <t>No info</t>
  </si>
  <si>
    <t>https://ras.nacid.bg/dissertation-preview/44000</t>
  </si>
  <si>
    <t>Доц. д-р Теодор Седларски</t>
  </si>
  <si>
    <t>https://ras.nacid.bg/dissertation-preview/43740</t>
  </si>
  <si>
    <t>https://ras.nacid.bg/dissertation-preview/31155</t>
  </si>
  <si>
    <t>https://ras.nacid.bg/dissertation-preview/27544</t>
  </si>
  <si>
    <t>Стати Василев Статев</t>
  </si>
  <si>
    <t>https://ras.nacid.bg/dissertation-preview/47652</t>
  </si>
  <si>
    <t>Тодор Попов</t>
  </si>
  <si>
    <t>Желю Владимиров</t>
  </si>
  <si>
    <t>https://ras.nacid.bg/dissertation-preview/49605</t>
  </si>
  <si>
    <t>Петър Пандушев Чобанов</t>
  </si>
  <si>
    <t>Георги Димитров Менгов</t>
  </si>
  <si>
    <t>Димитър Златинов</t>
  </si>
  <si>
    <t>https://ras.nacid.bg/dissertation-preview/61990</t>
  </si>
  <si>
    <t>Пенчо Денчев Пенчев</t>
  </si>
  <si>
    <t>https://ras.nacid.bg/dissertation-preview/45870</t>
  </si>
  <si>
    <t>Георги Савов Чобанов</t>
  </si>
  <si>
    <t>Стефан Петранов</t>
  </si>
  <si>
    <t>https://ras.nacid.bg/dissertation-preview/46596</t>
  </si>
  <si>
    <t>https://ras.nacid.bg/dissertation-preview/46590</t>
  </si>
  <si>
    <t>Трайчо Стефанов Спасов</t>
  </si>
  <si>
    <t>Екатерина Стефанова Сотирова-Петкова</t>
  </si>
  <si>
    <t>Стела Ралева</t>
  </si>
  <si>
    <t>N/a</t>
  </si>
  <si>
    <t>д-р Олимпия Ведър-Величкова</t>
  </si>
  <si>
    <t>Цветан Първанов Давидков</t>
  </si>
  <si>
    <t>Иванка Тодорова Мавродиева-Георгиева</t>
  </si>
  <si>
    <t>https://ras.nacid.bg/dissertation-preview/43162</t>
  </si>
  <si>
    <t>https://ras.nacid.bg/dissertation-preview/13336</t>
  </si>
  <si>
    <t>https://ras.nacid.bg/dissertation-preview/13764</t>
  </si>
  <si>
    <t>AI</t>
  </si>
  <si>
    <t>https://ras.nacid.bg/dissertation-preview/41048</t>
  </si>
  <si>
    <t>Мария-Антония Таразон Родон</t>
  </si>
  <si>
    <t>Хуан Хосе Хименес</t>
  </si>
  <si>
    <t>Божана Неделчева</t>
  </si>
  <si>
    <t>Пано Лулански</t>
  </si>
  <si>
    <t>https://ras.nacid.bg/dissertation-preview/30186</t>
  </si>
  <si>
    <t>https://ras.nacid.bg/dissertation-preview/30905</t>
  </si>
  <si>
    <t>Жан-Пиер Ньово</t>
  </si>
  <si>
    <t>Жером Каби</t>
  </si>
  <si>
    <t>Анастасия Миланова Бънкова</t>
  </si>
  <si>
    <t>https://ras.nacid.bg/dissertation-preview/43001</t>
  </si>
  <si>
    <t>https://ras.nacid.bg/dissertation-preview/40606</t>
  </si>
  <si>
    <t>Желю Дечев Владимиров</t>
  </si>
  <si>
    <t>https://ras.nacid.bg/dissertation-preview/47632</t>
  </si>
  <si>
    <t>https://ras.nacid.bg/dissertation-preview/47599</t>
  </si>
  <si>
    <t>https://ras.nacid.bg/dissertation-preview/42798</t>
  </si>
  <si>
    <t>Десислава Иванова Йорданова</t>
  </si>
  <si>
    <t>https://ras.nacid.bg/dissertation-preview/58317</t>
  </si>
  <si>
    <t>Магдалена Иванова</t>
  </si>
  <si>
    <t>https://ras.nacid.bg/dissertation-preview/58027</t>
  </si>
  <si>
    <t>Олимпия Ведър-Величкова</t>
  </si>
  <si>
    <t>Невяна Кръстева</t>
  </si>
  <si>
    <t>https://ras.nacid.bg/dissertation-preview/59979</t>
  </si>
  <si>
    <t>https://ras.nacid.bg/dissertation-preview/65111</t>
  </si>
  <si>
    <t>Ия Тодорова Петкова-Гурбалова</t>
  </si>
  <si>
    <t>Георги Н. Георгиев</t>
  </si>
  <si>
    <t>Слави М. Славов</t>
  </si>
  <si>
    <t>https://ras.nacid.bg/dissertation-preview/73965</t>
  </si>
  <si>
    <t>https://ras.nacid.bg/dissertation-preview/66490</t>
  </si>
  <si>
    <t>https://ras.nacid.bg/dissertation-preview/75999</t>
  </si>
  <si>
    <t>д-р Димитър Златинов</t>
  </si>
  <si>
    <t>д-р Виктор Йоцов</t>
  </si>
  <si>
    <t>д-р Божидар Недев</t>
  </si>
  <si>
    <t>д-р Адриан Маринчев</t>
  </si>
  <si>
    <t>д-р Банчо Банов</t>
  </si>
  <si>
    <t>д-р Илияна Анкова</t>
  </si>
  <si>
    <t>д-р Марселен Йовоган</t>
  </si>
  <si>
    <t>д-р Елеонора Станчева</t>
  </si>
  <si>
    <t>д-р Надя Велинова - Соколова</t>
  </si>
  <si>
    <t>д-р Георги Ганев</t>
  </si>
  <si>
    <t>д-р Стойко Митов</t>
  </si>
  <si>
    <t>д-р Николай Кацарски</t>
  </si>
  <si>
    <t>д-р Марио Касабов</t>
  </si>
  <si>
    <t>Велин Филипов</t>
  </si>
  <si>
    <t>Данаил Гушев</t>
  </si>
  <si>
    <t>https://ras.nacid.bg/dissertation-preview/49158</t>
  </si>
  <si>
    <t>FA</t>
  </si>
  <si>
    <t>Гарабед Минасян</t>
  </si>
  <si>
    <t>Васил Тодоров</t>
  </si>
  <si>
    <t>https://ras.nacid.bg/dissertation-preview/28176</t>
  </si>
  <si>
    <t>Катерина Караиванова</t>
  </si>
  <si>
    <t>Коста Пергелов</t>
  </si>
  <si>
    <t>https://ras.nacid.bg/dissertation-preview/29943</t>
  </si>
  <si>
    <t>https://ras.nacid.bg/dissertation-preview/25819</t>
  </si>
  <si>
    <t>Стоян Димитров Стоянов</t>
  </si>
  <si>
    <t>https://ras.nacid.bg/dissertation-preview/41407</t>
  </si>
  <si>
    <t>Иван Душанов Иванов</t>
  </si>
  <si>
    <t>https://ras.nacid.bg/dissertation-preview/37795</t>
  </si>
  <si>
    <t>Георги Чобанов</t>
  </si>
  <si>
    <t>https://ras.nacid.bg/dissertation-preview/38723</t>
  </si>
  <si>
    <t>https://ras.nacid.bg/dissertation-preview/12108</t>
  </si>
  <si>
    <t>Иван Брешков</t>
  </si>
  <si>
    <t>Кольо Рачев</t>
  </si>
  <si>
    <t>Уилям Барнет</t>
  </si>
  <si>
    <t>Стивън Фазари</t>
  </si>
  <si>
    <t>https://ras.nacid.bg/dissertation-preview/43381</t>
  </si>
  <si>
    <t>https://ras.nacid.bg/dissertation-preview/48035</t>
  </si>
  <si>
    <t>https://www.uni-sofia.bg/index.php/bul/universitet_t/fakulteti/stopanski_fakultet/katedri_i_akademichen_s_stav/katedri/finansi_i_schetovodstvo/prepodavateli_katedra_finansi_i_schetovodstvo/gl_as_d_r_stojko_mitov</t>
  </si>
  <si>
    <t>https://ras.nacid.bg/dissertation-preview/46144</t>
  </si>
  <si>
    <t>Димитър Ненков Ненков</t>
  </si>
  <si>
    <t>Богомил Борисов Манов</t>
  </si>
  <si>
    <t>https://ras.nacid.bg/dissertation-preview/46482</t>
  </si>
  <si>
    <t>PHD_Awarded</t>
  </si>
  <si>
    <t>AI_corr</t>
  </si>
  <si>
    <t>AI coefficient</t>
  </si>
  <si>
    <t>Economics and finance</t>
  </si>
  <si>
    <t>Business administration</t>
  </si>
  <si>
    <t>Finance and accounting</t>
  </si>
  <si>
    <t> Цветан Първанов Давидков</t>
  </si>
  <si>
    <t>ESG</t>
  </si>
  <si>
    <t>https://ras.nacid.bg/dissertation-preview/44548</t>
  </si>
  <si>
    <t>Стефан Христов Петранов</t>
  </si>
  <si>
    <t>https://ras.nacid.bg/dissertation-preview/42668</t>
  </si>
  <si>
    <t>https://ras.nacid.bg/dissertation-preview/3870</t>
  </si>
  <si>
    <t>Манол Рибов</t>
  </si>
  <si>
    <t>Ангел Геров</t>
  </si>
  <si>
    <t>Георги Сотиров</t>
  </si>
  <si>
    <t>Стефан Хаджитодоров</t>
  </si>
  <si>
    <t>https://ras.nacid.bg/dissertation-preview/16828</t>
  </si>
  <si>
    <t>https://ras.nacid.bg/dissertation-preview/74494</t>
  </si>
  <si>
    <t>Дж. Шриеферс</t>
  </si>
  <si>
    <t>X. Дeккерс</t>
  </si>
  <si>
    <t>Димитър Панайотов</t>
  </si>
  <si>
    <t>https://ras.nacid.bg/dissertation-preview/3450</t>
  </si>
  <si>
    <t>https://ras.nacid.bg/dissertation-preview/3699</t>
  </si>
  <si>
    <t>Димитър Паничков</t>
  </si>
  <si>
    <t>Гочо Гочев</t>
  </si>
  <si>
    <t>Антоанета Симова</t>
  </si>
  <si>
    <t>https://ras.nacid.bg/dissertation-preview/44549</t>
  </si>
  <si>
    <t>https://www.uni-sofia.bg/index.php/bul/content/download/56785/466534/version/1/file/CV-DianaBoyadzhieva.pdf</t>
  </si>
  <si>
    <t>https://www.uni-sofia.bg/index.php/eng/content/download/247132/1631213/version/1/file/Savina_CV_BG.pdf</t>
  </si>
  <si>
    <t>Пресияна Стойкова Ненкова</t>
  </si>
  <si>
    <t>https://ras.nacid.bg/dissertation-preview/44792</t>
  </si>
  <si>
    <t>Лиляна Павлова</t>
  </si>
  <si>
    <t>Стефан Ангелов Симеонов</t>
  </si>
  <si>
    <t>https://ras.nacid.bg/dissertation-preview/27528</t>
  </si>
  <si>
    <t>Калин Боянов Филипов</t>
  </si>
  <si>
    <t>Бончо Иванов Бонев</t>
  </si>
  <si>
    <t>https://ras.nacid.bg/dissertation-preview/47260</t>
  </si>
  <si>
    <t>https://ras.nacid.bg/dissertation-preview/48802</t>
  </si>
  <si>
    <t>Атанас Димитров Георгиев</t>
  </si>
  <si>
    <t>Албена Вуцова</t>
  </si>
  <si>
    <t>Мария Стойчева</t>
  </si>
  <si>
    <t>https://ras.nacid.bg/dissertation-preview/46168</t>
  </si>
  <si>
    <t>https://ras.nacid.bg/dissertation-preview/45899</t>
  </si>
  <si>
    <t>Цветан Давидков</t>
  </si>
  <si>
    <t>Антон Антонов Герунов</t>
  </si>
  <si>
    <t>https://ras.nacid.bg/dissertation-preview/75878</t>
  </si>
  <si>
    <t>https://ras.nacid.bg/dissertation-preview/58843</t>
  </si>
  <si>
    <t>Senior Administration</t>
  </si>
  <si>
    <t>General Assembly</t>
  </si>
  <si>
    <t>Academic Affairs Committee</t>
  </si>
  <si>
    <t>Evaluation Committee</t>
  </si>
  <si>
    <t>Corrected AI coefficient</t>
  </si>
  <si>
    <t>https://ras.nacid.bg/dissertation-preview/43161</t>
  </si>
  <si>
    <t>Economics and governance by sectors</t>
  </si>
  <si>
    <t>Проф. д.м.н. Иван Иванов</t>
  </si>
  <si>
    <t>Проф. д-р Камен Спасов</t>
  </si>
  <si>
    <t>Проф. д-р Деян Радев</t>
  </si>
  <si>
    <t>Доц. д-р Ангел А. Марчев</t>
  </si>
  <si>
    <t>Доц. д-р Андрей Василев</t>
  </si>
  <si>
    <t>Доц. д-р Боряна Пелова</t>
  </si>
  <si>
    <t>Доц. д-р Боян Ломев</t>
  </si>
  <si>
    <t>Доц. д-р Калоян Ганев</t>
  </si>
  <si>
    <t>Доц. д-р Мариян Милев</t>
  </si>
  <si>
    <t>Доц. д-р Радостин Вазов</t>
  </si>
  <si>
    <t>Доц. д-р Ралица Симеонова-Ганева</t>
  </si>
  <si>
    <t>Гл. ас. д-р Глория Христова</t>
  </si>
  <si>
    <t>Гл. ас. д-р Деница Гаврилова</t>
  </si>
  <si>
    <t>Гл. ас. д-р Теодора Върбанова</t>
  </si>
  <si>
    <t>Гл. ас. д-р Бойко Амаров</t>
  </si>
  <si>
    <t>Доц. д-р Николай Нетов</t>
  </si>
  <si>
    <t>Econometrics and statistics</t>
  </si>
  <si>
    <t>Боян Михайлов Ломев</t>
  </si>
  <si>
    <t>М. Петков</t>
  </si>
  <si>
    <t>М. Касчиев</t>
  </si>
  <si>
    <t>https://ras.nacid.bg/dissertation-preview/30038</t>
  </si>
  <si>
    <t>https://ras.nacid.bg/dissertation-preview/3857</t>
  </si>
  <si>
    <t>https://ras.nacid.bg/dissertation-preview/66176</t>
  </si>
  <si>
    <t>Минчо Халжийски</t>
  </si>
  <si>
    <t>Гео Гатев</t>
  </si>
  <si>
    <t>Изабел Шнабел</t>
  </si>
  <si>
    <t>Михаел Биндер</t>
  </si>
  <si>
    <t>https://ras.nacid.bg/dissertation-preview/9802</t>
  </si>
  <si>
    <t>Мая Ламбовска</t>
  </si>
  <si>
    <t>Ангел Ангелов Марчев</t>
  </si>
  <si>
    <t>https://ras.nacid.bg/dissertations-search</t>
  </si>
  <si>
    <t>Иордан Йорданов</t>
  </si>
  <si>
    <t>Тодор Рачев Гичев</t>
  </si>
  <si>
    <t>https://ras.nacid.bg/dissertation-preview/42155</t>
  </si>
  <si>
    <t>Иван Ганчев Иванов</t>
  </si>
  <si>
    <t>Ралица Симеонова-Ганева</t>
  </si>
  <si>
    <t>Ангел Марчев</t>
  </si>
  <si>
    <t>https://ras.nacid.bg/dissertation-preview/29843</t>
  </si>
  <si>
    <t>https://ras.nacid.bg/dissertation-preview/28187</t>
  </si>
  <si>
    <t>Александър Георгиев Димитров</t>
  </si>
  <si>
    <t>https://ras.nacid.bg/dissertation-preview/30969</t>
  </si>
  <si>
    <t>Алдо Талиани</t>
  </si>
  <si>
    <t>Паоло Брандимарте</t>
  </si>
  <si>
    <t>Янаки Тодоров Андреев</t>
  </si>
  <si>
    <t>https://ras.nacid.bg/dissertation-preview/41863</t>
  </si>
  <si>
    <t>https://ras.nacid.bg/dissertation-preview/26344</t>
  </si>
  <si>
    <t>Нигрета Величкова,</t>
  </si>
  <si>
    <t>https://ras.nacid.bg/dissertation-preview/67405</t>
  </si>
  <si>
    <t>Боряна Богданова</t>
  </si>
  <si>
    <t>https://ras.nacid.bg/dissertation-preview/46598</t>
  </si>
  <si>
    <t>https://ras.nacid.bg/dissertation-preview/70108</t>
  </si>
  <si>
    <t>Албена Христова Вуцова</t>
  </si>
  <si>
    <t>Николай Чудомиров Нетов</t>
  </si>
  <si>
    <t>Ралица Иванчева Симеонова-Ганева</t>
  </si>
  <si>
    <t>https://ras.nacid.bg/dissertation-preview/59414</t>
  </si>
  <si>
    <t>Econonmetrics and statistics</t>
  </si>
  <si>
    <t>Q1_Scopus</t>
  </si>
  <si>
    <t>Scopus_all</t>
  </si>
  <si>
    <t>NACID</t>
  </si>
  <si>
    <t>Joury_head</t>
  </si>
  <si>
    <t>SCOPUS</t>
  </si>
  <si>
    <t>https://www.scopus.com/authid/detail.uri?authorId=57200674599</t>
  </si>
  <si>
    <t>Only_national_collab</t>
  </si>
  <si>
    <t>International_collaboration</t>
  </si>
  <si>
    <t>Only_institutional_collaboration</t>
  </si>
  <si>
    <t>https://www.scopus.com/authid/detail.uri?authorId=57203805215&amp;origin=resultslist</t>
  </si>
  <si>
    <t>https://www.scopus.com/authid/detail.uri?authorId=57832339600</t>
  </si>
  <si>
    <t>https://www.scopus.com/authid/detail.uri?authorId=57614198900&amp;origin=recordpage</t>
  </si>
  <si>
    <t>https://www.scopus.com/authid/detail.uri?authorId=57222148408</t>
  </si>
  <si>
    <t>https://www.scopus.com/authid/detail.uri?authorId=56806829900&amp;origin=resultslist</t>
  </si>
  <si>
    <t>https://www.scopus.com/authid/detail.uri?authorId=59293941200&amp;origin=resultslist</t>
  </si>
  <si>
    <t>https://www.scopus.com/authid/detail.uri?authorId=57215082661</t>
  </si>
  <si>
    <t>https://www.scopus.com/authid/detail.uri?authorId=57416479900</t>
  </si>
  <si>
    <t>https://www.scopus.com/authid/detail.uri?authorId=57996430300&amp;origin=resultslist</t>
  </si>
  <si>
    <t>https://www.scopus.com/authid/detail.uri?authorId=57615520700&amp;origin=resultslist</t>
  </si>
  <si>
    <t>FIRST_PT_FEBA</t>
  </si>
  <si>
    <t>UNKNOWN</t>
  </si>
  <si>
    <t>https://ras.nacid.bg/dissertation-preview/70392</t>
  </si>
  <si>
    <t>https://www.uni-sofia.bg/index.php/bul/content/download/157470/1126121/version/1/file/recenzia_prof_Vidolova.pdf</t>
  </si>
  <si>
    <t>https://ras.nacid.bg/dissertation-preview/58774</t>
  </si>
  <si>
    <t>https://ras.nacid.bg/dissertation-preview/74744</t>
  </si>
  <si>
    <t>https://ras.nacid.bg/dissertation-preview/69769</t>
  </si>
  <si>
    <t>https://ras.nacid.bg/dissertation-preview/67487</t>
  </si>
  <si>
    <t>https://ras.nacid.bg/dissertation-preview/74742</t>
  </si>
  <si>
    <t>д.ик.н. Антон Герунов</t>
  </si>
  <si>
    <t>д-р Марина Стефанова</t>
  </si>
  <si>
    <t>д.ик.н. Соня Милева - Божанова</t>
  </si>
  <si>
    <t>д-р Георги Менгов</t>
  </si>
  <si>
    <t>д-р Светлана Бялкова</t>
  </si>
  <si>
    <t>д-р Теодора Георгиева</t>
  </si>
  <si>
    <t>д-р Фантина Рангелова</t>
  </si>
  <si>
    <t>д-р Атанас Георгиев - декан</t>
  </si>
  <si>
    <t>д-р Дияна Нетова</t>
  </si>
  <si>
    <t>д-р Савина Михайлова-Големинова</t>
  </si>
  <si>
    <t>д-р Десислава Калчева</t>
  </si>
  <si>
    <t>д-р Емил Митов</t>
  </si>
  <si>
    <t>д-р Ивайло Найденов</t>
  </si>
  <si>
    <t>д-р Мария Трифонова</t>
  </si>
  <si>
    <t>д-р Мартина Арабаджиева</t>
  </si>
  <si>
    <t>д-р Петър Ташев</t>
  </si>
  <si>
    <t>д-р Рени Панчева</t>
  </si>
  <si>
    <t>Васил Караиванов</t>
  </si>
  <si>
    <t>https://www.scopus.com/authid/detail.uri?authorId=15070754700&amp;origin=resultslist</t>
  </si>
  <si>
    <t>Time_from_phd_to_FEBA</t>
  </si>
  <si>
    <t>https://ras.nacid.bg/dissertation-preview/42256</t>
  </si>
  <si>
    <t>https://www.scopus.com/results/results.uri?sort=plf-f&amp;src=s&amp;st1=Potebnya&amp;st2=Aleksey&amp;nlo=1&amp;nlr=20&amp;nls=count-f&amp;sid=001ec1053d2796eedf35ef7a41329b27&amp;sot=anl&amp;sdt=aut&amp;sl=38&amp;s=AU-ID%28%22Potebnya%2C+Aleksey%22+60145455900%29&amp;txGid=69be0c7fa50991a6f3eb3087cd5d2395&amp;sessionSearchId=001ec1053d2796eedf35ef7a41329b27&amp;limit=10</t>
  </si>
  <si>
    <t>https://www.scopus.com/results/results.uri?sort=plf-f&amp;src=s&amp;st1=Sokolova&amp;st2=Nadya&amp;nlo=1&amp;nlr=20&amp;nls=count-f&amp;sid=97ce249b9c7b914a4acd930399e81b2c&amp;sot=anl&amp;sdt=aut&amp;sl=45&amp;s=AU-ID%28%22Velinova-Sokolova%2C+Nadya%22+58535771500%29&amp;txGid=7653ab75b76795bf2947a8b540d62b41&amp;sessionSearchId=97ce249b9c7b914a4acd930399e81b2c&amp;limit=10</t>
  </si>
  <si>
    <t>https://www.scopus.com/results/results.uri?sort=plf-f&amp;src=s&amp;st1=Goleminova&amp;st2=Savina&amp;nlo=1&amp;nlr=20&amp;nls=count-f&amp;sid=38adc4f08307de6028215e1979e4975a&amp;sot=anl&amp;sdt=aut&amp;sl=49&amp;s=AU-ID%28%22Mihaylova-Goleminova%2C+Savina%22+58983015100%29&amp;txGid=170904c5eac818bce1788a3779ac3249&amp;sessionSearchId=38adc4f08307de6028215e1979e4975a&amp;limit=10</t>
  </si>
  <si>
    <t>https://www.scopus.com/results/results.uri?sort=plf-f&amp;src=s&amp;st1=&amp;st2=&amp;nlo=1&amp;nlr=20&amp;nls=count-f&amp;sid=45457dba89d0aff3e5cf702414294e58&amp;sot=anl&amp;sdt=aut&amp;sl=36&amp;s=AU-ID%28%22Pantcheva%2C+Reni%22+58000918800%29&amp;txGid=3ce1f4c94a1da5dbc68a1b20269d7721&amp;sessionSearchId=45457dba89d0aff3e5cf702414294e58&amp;limit=10</t>
  </si>
  <si>
    <t>https://www.scopus.com/authid/detail.uri?authorId=60184186700&amp;origin=resultslist</t>
  </si>
  <si>
    <t>https://www.scopus.com/authid/detail.uri?authorId=59123107300&amp;origin=resultslist</t>
  </si>
  <si>
    <t>https://www.scopus.com/authid/detail.uri?authorId=58631627900&amp;origin=resultslist</t>
  </si>
  <si>
    <t>https://www.scopus.com/authid/detail.uri?authorId=57202109484&amp;origin=resultslist</t>
  </si>
  <si>
    <t>https://www.scopus.com/authid/detail.uri?authorId=57203705327&amp;origin=resultslist</t>
  </si>
  <si>
    <t>https://www.scopus.com/authid/detail.uri?authorId=57364084200&amp;origin=resultslist</t>
  </si>
  <si>
    <t>https://www.scopus.com/authid/detail.uri?authorId=59905827700&amp;origin=resultslist</t>
  </si>
  <si>
    <t>https://www.scopus.com/authid/detail.uri?authorId=59212397600&amp;origin=resultslist</t>
  </si>
  <si>
    <t>https://www.scopus.com/authid/detail.uri?authorId=57732422200&amp;origin=resultslist</t>
  </si>
  <si>
    <t>https://www.scopus.com/authid/detail.uri?authorId=57205149916&amp;origin=resultslist</t>
  </si>
  <si>
    <t>https://www.scopus.com/authid/detail.uri?authorId=57192208329&amp;origin=resultslist</t>
  </si>
  <si>
    <t>https://www.scopus.com/authid/detail.uri?authorId=57222472604&amp;origin=resultslist</t>
  </si>
  <si>
    <t>https://www.scopus.com/authid/detail.uri?authorId=60231437300&amp;origin=resultslist</t>
  </si>
  <si>
    <t>https://www.scopus.com/authid/detail.uri?authorId=24499423500&amp;origin=resultslist</t>
  </si>
  <si>
    <t>https://www.scopus.com/authid/detail.uri?authorId=57210931495&amp;origin=resultslist</t>
  </si>
  <si>
    <t>https://www.scopus.com/authid/detail.uri?authorId=57712866000&amp;origin=resultslist</t>
  </si>
  <si>
    <t>https://www.scopus.com/authid/detail.uri?authorId=57190254975&amp;origin=resultslist</t>
  </si>
  <si>
    <t>https://www.scopus.com/authid/detail.uri?authorId=57225962033&amp;origin=resultslist</t>
  </si>
  <si>
    <t>https://www.scopus.com/authid/detail.uri?authorId=36247103900&amp;origin=resultslist</t>
  </si>
  <si>
    <t>https://www.scopus.com/authid/detail.uri?authorId=58704936100&amp;origin=resultslist</t>
  </si>
  <si>
    <t>https://www.scopus.com/authid/detail.uri?authorId=14629311300&amp;origin=resultslist</t>
  </si>
  <si>
    <t>https://www.scopus.com/authid/detail.uri?authorId=35092436400&amp;origin=resultslist</t>
  </si>
  <si>
    <t>https://www.scopus.com/authid/detail.uri?authorId=60076255400&amp;origin=resultslist</t>
  </si>
  <si>
    <t>https://www.scopus.com/authid/detail.uri?authorId=57222542931&amp;origin=resultslist</t>
  </si>
  <si>
    <t>https://www.scopus.com/authid/detail.uri?authorId=57971783000&amp;origin=resultslist</t>
  </si>
  <si>
    <t>https://www.scopus.com/authid/detail.uri?authorId=57224570337&amp;origin=resultslist</t>
  </si>
  <si>
    <t>.</t>
  </si>
  <si>
    <t>https://www.scopus.com/authid/detail.uri?authorId=36783781200&amp;origin=resultslist</t>
  </si>
  <si>
    <t>https://www.scopus.com/authid/detail.uri?authorId=36550498900&amp;origin=resultslist</t>
  </si>
  <si>
    <t>https://www.scopus.com/authid/detail.uri?authorId=16202986300&amp;origin=resultslist</t>
  </si>
  <si>
    <t>https://www.scopus.com/authid/detail.uri?authorId=57950282900&amp;origin=resultslist</t>
  </si>
  <si>
    <t>https://www.scopus.com/authid/detail.uri?authorId=36809857600&amp;origin=resultslist</t>
  </si>
  <si>
    <t>https://www.scopus.com/authid/detail.uri?authorId=57225924071&amp;origin=resultslist</t>
  </si>
  <si>
    <t>https://www.scopus.com/authid/detail.uri?authorId=36872387300&amp;origin=resultslist</t>
  </si>
  <si>
    <t>https://www.scopus.com/authid/detail.uri?authorId=55279824500&amp;origin=resultslist</t>
  </si>
  <si>
    <t>https://www.scopus.com/authid/detail.uri?authorId=57219180386&amp;origin=resultslist</t>
  </si>
  <si>
    <t>https://www.scopus.com/authid/detail.uri?authorId=57694866600&amp;origin=resultslist</t>
  </si>
  <si>
    <t>https://www.scopus.com/authid/detail.uri?authorId=35119326600&amp;origin=resultslist</t>
  </si>
  <si>
    <t>https://www.scopus.com/authid/detail.uri?authorId=56902560300&amp;origin=resultslist</t>
  </si>
  <si>
    <t>https://www.scopus.com/authid/detail.uri?authorId=57222465481&amp;origin=resultslist</t>
  </si>
  <si>
    <t>https://www.scopus.com/authid/detail.uri?authorId=60071159400&amp;origin=resultslist</t>
  </si>
  <si>
    <t>https://www.scopus.com/authid/detail.uri?authorId=23991773400&amp;origin=resultslist</t>
  </si>
  <si>
    <t>https://www.scopus.com/authid/detail.uri?authorId=55847592700&amp;origin=resultslist</t>
  </si>
  <si>
    <t>Gender</t>
  </si>
  <si>
    <t>Проф. д.ик.н Невяна Кръстева</t>
  </si>
  <si>
    <t>only_author</t>
  </si>
  <si>
    <t>проф. дикн Стоядин Савов</t>
  </si>
  <si>
    <t>проф. дикн Велко Mаринов</t>
  </si>
  <si>
    <t>Ненчо Димов</t>
  </si>
  <si>
    <t>Веселин Хаджиниколов</t>
  </si>
  <si>
    <t>Михаил Николаевич Руткевич</t>
  </si>
  <si>
    <t>Юрий Евгеньевич Волков</t>
  </si>
  <si>
    <t>Димитър Стоянов</t>
  </si>
  <si>
    <t>Гр. Желев</t>
  </si>
  <si>
    <t>Иван Попчев</t>
  </si>
  <si>
    <t>Дочо Дочев</t>
  </si>
  <si>
    <t>Никола Чонов</t>
  </si>
  <si>
    <t>https://ras.nacid.bg/dissertation-preview/37622</t>
  </si>
  <si>
    <t>Красимир Атанасов</t>
  </si>
  <si>
    <t>Доц. д-р Юрий Страшимиров Кучев</t>
  </si>
  <si>
    <t>Проф. д-р Сашо Георгиев Пенов</t>
  </si>
  <si>
    <t>Джеймс Осонду</t>
  </si>
  <si>
    <t xml:space="preserve">Is not doing a PHD </t>
  </si>
  <si>
    <t>Retired, never did a PHD</t>
  </si>
  <si>
    <t xml:space="preserve"> </t>
  </si>
  <si>
    <t>Марселен Йовоган?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</si>
</sst>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7"/>
      <color rgb="FF331F09"/>
      <name val="Verdana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7"/>
      <color rgb="FF331F09"/>
      <name val="Verdana"/>
      <family val="2"/>
      <charset val="204"/>
    </font>
    <font>
      <i/>
      <sz val="7"/>
      <color rgb="FF331F09"/>
      <name val="Verdana"/>
      <family val="2"/>
      <charset val="204"/>
    </font>
    <font>
      <sz val="11"/>
      <color theme="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2"/>
      <color theme="0"/>
      <name val="Calibri"/>
      <family val="2"/>
      <charset val="204"/>
      <scheme val="minor"/>
    </font>
    <font>
      <sz val="12"/>
      <color rgb="FF33333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0"/>
      <name val="Calibri"/>
      <family val="2"/>
      <charset val="204"/>
      <scheme val="minor"/>
    </font>
    <font>
      <sz val="10"/>
      <color rgb="FF2E2E2E"/>
      <name val="Arial"/>
      <family val="2"/>
      <charset val="204"/>
    </font>
    <font>
      <sz val="8"/>
      <color rgb="FF333333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indexed="81"/>
      <name val="Tahoma"/>
      <family val="2"/>
      <charset val="204"/>
    </font>
    <font>
      <b/>
      <sz val="11"/>
      <color indexed="81"/>
      <name val="Tahoma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1E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2">
    <xf numFmtId="0" fontId="0" fillId="0" borderId="0" xfId="0"/>
    <xf numFmtId="0" fontId="4" fillId="0" borderId="0" xfId="2" applyAlignment="1">
      <alignment horizontal="left" vertical="center" wrapText="1"/>
    </xf>
    <xf numFmtId="0" fontId="4" fillId="0" borderId="0" xfId="2"/>
    <xf numFmtId="0" fontId="0" fillId="2" borderId="0" xfId="0" applyFill="1"/>
    <xf numFmtId="0" fontId="3" fillId="3" borderId="1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5" fillId="3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6" fillId="3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4" fillId="0" borderId="0" xfId="2" applyAlignment="1">
      <alignment horizontal="left" vertical="center" wrapText="1" indent="1"/>
    </xf>
    <xf numFmtId="9" fontId="0" fillId="0" borderId="0" xfId="1" applyFont="1"/>
    <xf numFmtId="0" fontId="5" fillId="3" borderId="3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left" vertical="top" wrapText="1"/>
    </xf>
    <xf numFmtId="0" fontId="0" fillId="0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9" fontId="0" fillId="0" borderId="0" xfId="1" applyFont="1" applyFill="1"/>
    <xf numFmtId="0" fontId="0" fillId="0" borderId="0" xfId="0" applyFont="1" applyAlignment="1">
      <alignment wrapText="1"/>
    </xf>
    <xf numFmtId="164" fontId="12" fillId="0" borderId="0" xfId="0" applyNumberFormat="1" applyFont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0" fontId="12" fillId="0" borderId="0" xfId="0" applyFont="1" applyAlignment="1">
      <alignment wrapText="1"/>
    </xf>
    <xf numFmtId="0" fontId="12" fillId="2" borderId="0" xfId="0" applyFont="1" applyFill="1" applyAlignment="1">
      <alignment wrapText="1"/>
    </xf>
    <xf numFmtId="0" fontId="0" fillId="2" borderId="0" xfId="0" applyFont="1" applyFill="1"/>
    <xf numFmtId="0" fontId="0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7" borderId="5" xfId="2" applyFill="1" applyBorder="1" applyAlignment="1">
      <alignment wrapText="1"/>
    </xf>
    <xf numFmtId="0" fontId="0" fillId="7" borderId="5" xfId="0" applyFill="1" applyBorder="1"/>
    <xf numFmtId="0" fontId="0" fillId="7" borderId="5" xfId="0" applyFill="1" applyBorder="1" applyAlignment="1">
      <alignment horizontal="center" vertical="center"/>
    </xf>
    <xf numFmtId="0" fontId="4" fillId="0" borderId="5" xfId="2" applyBorder="1" applyAlignment="1">
      <alignment wrapText="1"/>
    </xf>
    <xf numFmtId="0" fontId="0" fillId="0" borderId="5" xfId="0" applyBorder="1"/>
    <xf numFmtId="0" fontId="12" fillId="0" borderId="5" xfId="0" applyFont="1" applyBorder="1" applyAlignment="1">
      <alignment wrapText="1"/>
    </xf>
    <xf numFmtId="0" fontId="0" fillId="0" borderId="5" xfId="0" applyFill="1" applyBorder="1"/>
    <xf numFmtId="164" fontId="1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0" fontId="4" fillId="0" borderId="5" xfId="2" applyFill="1" applyBorder="1" applyAlignment="1">
      <alignment wrapText="1"/>
    </xf>
    <xf numFmtId="0" fontId="12" fillId="0" borderId="5" xfId="0" applyFont="1" applyFill="1" applyBorder="1" applyAlignment="1">
      <alignment wrapText="1"/>
    </xf>
    <xf numFmtId="0" fontId="0" fillId="0" borderId="5" xfId="0" applyFill="1" applyBorder="1" applyAlignment="1">
      <alignment horizontal="center" vertical="center"/>
    </xf>
    <xf numFmtId="0" fontId="0" fillId="0" borderId="5" xfId="0" applyFill="1" applyBorder="1" applyAlignment="1">
      <alignment wrapText="1"/>
    </xf>
    <xf numFmtId="0" fontId="4" fillId="0" borderId="5" xfId="2" applyBorder="1"/>
    <xf numFmtId="0" fontId="4" fillId="5" borderId="5" xfId="2" applyFill="1" applyBorder="1" applyAlignment="1">
      <alignment wrapText="1"/>
    </xf>
    <xf numFmtId="0" fontId="0" fillId="5" borderId="5" xfId="0" applyFill="1" applyBorder="1"/>
    <xf numFmtId="0" fontId="12" fillId="5" borderId="5" xfId="0" applyFont="1" applyFill="1" applyBorder="1" applyAlignment="1">
      <alignment wrapText="1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 applyAlignment="1">
      <alignment wrapText="1"/>
    </xf>
    <xf numFmtId="164" fontId="11" fillId="5" borderId="5" xfId="0" applyNumberFormat="1" applyFont="1" applyFill="1" applyBorder="1" applyAlignment="1">
      <alignment horizontal="center" vertical="center"/>
    </xf>
    <xf numFmtId="0" fontId="4" fillId="0" borderId="5" xfId="2" applyFill="1" applyBorder="1"/>
    <xf numFmtId="0" fontId="11" fillId="7" borderId="5" xfId="0" applyFont="1" applyFill="1" applyBorder="1"/>
    <xf numFmtId="0" fontId="11" fillId="0" borderId="5" xfId="0" applyFont="1" applyBorder="1"/>
    <xf numFmtId="0" fontId="0" fillId="0" borderId="5" xfId="0" applyBorder="1" applyAlignment="1">
      <alignment wrapText="1"/>
    </xf>
    <xf numFmtId="0" fontId="0" fillId="7" borderId="5" xfId="0" applyFill="1" applyBorder="1" applyAlignment="1">
      <alignment wrapText="1"/>
    </xf>
    <xf numFmtId="0" fontId="12" fillId="0" borderId="5" xfId="0" applyFont="1" applyBorder="1"/>
    <xf numFmtId="0" fontId="11" fillId="0" borderId="5" xfId="0" applyFont="1" applyBorder="1" applyAlignment="1">
      <alignment horizontal="left" vertical="center" wrapText="1" indent="1"/>
    </xf>
    <xf numFmtId="0" fontId="7" fillId="6" borderId="0" xfId="0" applyFont="1" applyFill="1" applyAlignment="1">
      <alignment horizontal="center" vertical="center" wrapText="1"/>
    </xf>
    <xf numFmtId="164" fontId="12" fillId="7" borderId="5" xfId="0" applyNumberFormat="1" applyFont="1" applyFill="1" applyBorder="1" applyAlignment="1">
      <alignment horizontal="center" vertical="center"/>
    </xf>
    <xf numFmtId="0" fontId="1" fillId="0" borderId="0" xfId="0" applyFont="1"/>
    <xf numFmtId="0" fontId="11" fillId="7" borderId="5" xfId="0" applyFont="1" applyFill="1" applyBorder="1" applyAlignment="1">
      <alignment wrapText="1"/>
    </xf>
    <xf numFmtId="0" fontId="11" fillId="0" borderId="5" xfId="0" applyFont="1" applyBorder="1" applyAlignment="1">
      <alignment wrapText="1"/>
    </xf>
    <xf numFmtId="2" fontId="0" fillId="0" borderId="5" xfId="0" applyNumberFormat="1" applyFill="1" applyBorder="1" applyAlignment="1">
      <alignment horizontal="center" vertical="center"/>
    </xf>
    <xf numFmtId="2" fontId="0" fillId="0" borderId="0" xfId="0" applyNumberFormat="1" applyFill="1"/>
    <xf numFmtId="14" fontId="15" fillId="0" borderId="5" xfId="0" applyNumberFormat="1" applyFont="1" applyBorder="1"/>
    <xf numFmtId="2" fontId="0" fillId="5" borderId="5" xfId="0" applyNumberFormat="1" applyFill="1" applyBorder="1" applyAlignment="1">
      <alignment horizontal="center" vertical="center"/>
    </xf>
    <xf numFmtId="0" fontId="0" fillId="5" borderId="0" xfId="0" applyFill="1"/>
    <xf numFmtId="0" fontId="2" fillId="0" borderId="0" xfId="0" applyFont="1" applyAlignment="1">
      <alignment horizontal="center"/>
    </xf>
    <xf numFmtId="0" fontId="11" fillId="0" borderId="5" xfId="0" applyFont="1" applyFill="1" applyBorder="1" applyAlignment="1">
      <alignment wrapText="1"/>
    </xf>
    <xf numFmtId="164" fontId="11" fillId="0" borderId="5" xfId="0" applyNumberFormat="1" applyFont="1" applyFill="1" applyBorder="1" applyAlignment="1">
      <alignment horizontal="center" vertical="center"/>
    </xf>
    <xf numFmtId="0" fontId="11" fillId="0" borderId="5" xfId="0" applyFont="1" applyFill="1" applyBorder="1"/>
    <xf numFmtId="0" fontId="13" fillId="7" borderId="6" xfId="2" applyFont="1" applyFill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" xfId="2" applyFont="1" applyFill="1" applyBorder="1" applyAlignment="1">
      <alignment horizontal="left" vertical="center" wrapText="1"/>
    </xf>
    <xf numFmtId="0" fontId="0" fillId="0" borderId="6" xfId="0" applyFill="1" applyBorder="1"/>
    <xf numFmtId="0" fontId="13" fillId="5" borderId="6" xfId="2" applyFont="1" applyFill="1" applyBorder="1" applyAlignment="1">
      <alignment horizontal="left" vertical="center" wrapText="1"/>
    </xf>
    <xf numFmtId="2" fontId="0" fillId="7" borderId="7" xfId="0" applyNumberFormat="1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0" borderId="7" xfId="0" applyNumberForma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164" fontId="10" fillId="6" borderId="9" xfId="0" applyNumberFormat="1" applyFont="1" applyFill="1" applyBorder="1" applyAlignment="1">
      <alignment horizontal="center" vertical="center" wrapText="1"/>
    </xf>
    <xf numFmtId="2" fontId="7" fillId="6" borderId="9" xfId="0" applyNumberFormat="1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16" fillId="0" borderId="0" xfId="0" applyFont="1"/>
    <xf numFmtId="0" fontId="13" fillId="5" borderId="11" xfId="2" applyFont="1" applyFill="1" applyBorder="1" applyAlignment="1">
      <alignment horizontal="left" vertical="center" wrapText="1"/>
    </xf>
    <xf numFmtId="0" fontId="0" fillId="5" borderId="12" xfId="0" applyFill="1" applyBorder="1"/>
    <xf numFmtId="0" fontId="0" fillId="5" borderId="12" xfId="0" applyFill="1" applyBorder="1" applyAlignment="1">
      <alignment wrapText="1"/>
    </xf>
    <xf numFmtId="0" fontId="0" fillId="5" borderId="12" xfId="0" applyFill="1" applyBorder="1" applyAlignment="1">
      <alignment horizontal="center" vertical="center"/>
    </xf>
    <xf numFmtId="2" fontId="0" fillId="5" borderId="12" xfId="0" applyNumberFormat="1" applyFill="1" applyBorder="1" applyAlignment="1">
      <alignment horizontal="center" vertical="center"/>
    </xf>
    <xf numFmtId="2" fontId="0" fillId="5" borderId="13" xfId="0" applyNumberForma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4" fillId="5" borderId="5" xfId="2" applyFill="1" applyBorder="1" applyAlignment="1"/>
    <xf numFmtId="0" fontId="0" fillId="5" borderId="5" xfId="0" applyFill="1" applyBorder="1" applyAlignment="1"/>
    <xf numFmtId="0" fontId="0" fillId="5" borderId="12" xfId="0" applyFill="1" applyBorder="1" applyAlignment="1"/>
    <xf numFmtId="0" fontId="4" fillId="0" borderId="5" xfId="2" applyFill="1" applyBorder="1" applyAlignment="1"/>
    <xf numFmtId="164" fontId="12" fillId="0" borderId="5" xfId="0" applyNumberFormat="1" applyFont="1" applyFill="1" applyBorder="1" applyAlignment="1">
      <alignment horizontal="center" vertical="center"/>
    </xf>
    <xf numFmtId="0" fontId="0" fillId="0" borderId="5" xfId="0" applyFill="1" applyBorder="1" applyAlignment="1"/>
    <xf numFmtId="2" fontId="14" fillId="0" borderId="5" xfId="0" applyNumberFormat="1" applyFont="1" applyFill="1" applyBorder="1" applyAlignment="1">
      <alignment horizontal="center" vertical="center"/>
    </xf>
    <xf numFmtId="0" fontId="13" fillId="8" borderId="6" xfId="2" applyFont="1" applyFill="1" applyBorder="1" applyAlignment="1">
      <alignment horizontal="left" vertical="center" wrapText="1"/>
    </xf>
    <xf numFmtId="0" fontId="4" fillId="8" borderId="5" xfId="2" applyFill="1" applyBorder="1" applyAlignment="1"/>
    <xf numFmtId="0" fontId="0" fillId="8" borderId="5" xfId="0" applyFill="1" applyBorder="1"/>
    <xf numFmtId="0" fontId="12" fillId="8" borderId="5" xfId="0" applyFont="1" applyFill="1" applyBorder="1" applyAlignment="1">
      <alignment wrapText="1"/>
    </xf>
    <xf numFmtId="164" fontId="11" fillId="8" borderId="5" xfId="0" applyNumberFormat="1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2" fontId="0" fillId="8" borderId="5" xfId="0" applyNumberFormat="1" applyFill="1" applyBorder="1" applyAlignment="1">
      <alignment horizontal="center" vertical="center"/>
    </xf>
    <xf numFmtId="2" fontId="0" fillId="8" borderId="7" xfId="0" applyNumberFormat="1" applyFill="1" applyBorder="1" applyAlignment="1">
      <alignment horizontal="center" vertical="center"/>
    </xf>
    <xf numFmtId="0" fontId="0" fillId="8" borderId="0" xfId="0" applyFill="1"/>
    <xf numFmtId="164" fontId="12" fillId="8" borderId="5" xfId="0" applyNumberFormat="1" applyFont="1" applyFill="1" applyBorder="1" applyAlignment="1">
      <alignment horizontal="center" vertical="center"/>
    </xf>
    <xf numFmtId="0" fontId="15" fillId="0" borderId="0" xfId="0" applyFont="1" applyFill="1"/>
  </cellXfs>
  <cellStyles count="3">
    <cellStyle name="Hyperlink" xfId="2" builtinId="8"/>
    <cellStyle name="Normal" xfId="0" builtinId="0"/>
    <cellStyle name="Percent" xfId="1" builtinId="5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numFmt numFmtId="164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numFmt numFmtId="164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libri"/>
        <family val="2"/>
        <charset val="204"/>
        <scheme val="minor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Academic inbreeding by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7056651712335998E-2"/>
          <c:y val="7.5134915615149109E-2"/>
          <c:w val="0.82076118040327017"/>
          <c:h val="0.799794122177074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main_database!$O$1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graph!$B$1:$J$1</c:f>
              <c:strCache>
                <c:ptCount val="9"/>
                <c:pt idx="0">
                  <c:v>Economics and finance</c:v>
                </c:pt>
                <c:pt idx="1">
                  <c:v>Business administration</c:v>
                </c:pt>
                <c:pt idx="2">
                  <c:v>Finance and accounting</c:v>
                </c:pt>
                <c:pt idx="3">
                  <c:v>Economics and governance by sectors</c:v>
                </c:pt>
                <c:pt idx="4">
                  <c:v>Econonmetrics and statistics</c:v>
                </c:pt>
                <c:pt idx="5">
                  <c:v>Senior Administration</c:v>
                </c:pt>
                <c:pt idx="6">
                  <c:v>General Assembly</c:v>
                </c:pt>
                <c:pt idx="7">
                  <c:v>Academic Affairs Committee</c:v>
                </c:pt>
                <c:pt idx="8">
                  <c:v>Evaluation Committee</c:v>
                </c:pt>
              </c:strCache>
            </c:strRef>
          </c:cat>
          <c:val>
            <c:numRef>
              <c:f>graph!$B$2:$J$2</c:f>
              <c:numCache>
                <c:formatCode>0%</c:formatCode>
                <c:ptCount val="9"/>
                <c:pt idx="0">
                  <c:v>0.625</c:v>
                </c:pt>
                <c:pt idx="1">
                  <c:v>0.63157894736842102</c:v>
                </c:pt>
                <c:pt idx="2">
                  <c:v>0.5</c:v>
                </c:pt>
                <c:pt idx="3">
                  <c:v>0.5</c:v>
                </c:pt>
                <c:pt idx="4">
                  <c:v>0.5625</c:v>
                </c:pt>
                <c:pt idx="5">
                  <c:v>0.875</c:v>
                </c:pt>
                <c:pt idx="6">
                  <c:v>0.52631578947368418</c:v>
                </c:pt>
                <c:pt idx="7">
                  <c:v>0.9</c:v>
                </c:pt>
                <c:pt idx="8">
                  <c:v>0.7142857142857143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0-4A45-BE81-DD8DC0B15CE0}"/>
            </c:ext>
          </c:extLst>
        </c:ser>
        <c:ser>
          <c:idx val="1"/>
          <c:order val="1"/>
          <c:tx>
            <c:strRef>
              <c:f>main_database!$P$1</c:f>
              <c:strCache>
                <c:ptCount val="1"/>
                <c:pt idx="0">
                  <c:v>AI_corr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4.924704372323161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90-4A45-BE81-DD8DC0B15CE0}"/>
                </c:ext>
              </c:extLst>
            </c:dLbl>
            <c:dLbl>
              <c:idx val="3"/>
              <c:layout>
                <c:manualLayout>
                  <c:x val="1.4262541265911194E-3"/>
                  <c:y val="2.807633136526356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01-407A-B7C0-0167FBF26F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graph!$B$1:$J$1</c:f>
              <c:strCache>
                <c:ptCount val="9"/>
                <c:pt idx="0">
                  <c:v>Economics and finance</c:v>
                </c:pt>
                <c:pt idx="1">
                  <c:v>Business administration</c:v>
                </c:pt>
                <c:pt idx="2">
                  <c:v>Finance and accounting</c:v>
                </c:pt>
                <c:pt idx="3">
                  <c:v>Economics and governance by sectors</c:v>
                </c:pt>
                <c:pt idx="4">
                  <c:v>Econonmetrics and statistics</c:v>
                </c:pt>
                <c:pt idx="5">
                  <c:v>Senior Administration</c:v>
                </c:pt>
                <c:pt idx="6">
                  <c:v>General Assembly</c:v>
                </c:pt>
                <c:pt idx="7">
                  <c:v>Academic Affairs Committee</c:v>
                </c:pt>
                <c:pt idx="8">
                  <c:v>Evaluation Committee</c:v>
                </c:pt>
              </c:strCache>
            </c:strRef>
          </c:cat>
          <c:val>
            <c:numRef>
              <c:f>graph!$B$3:$J$3</c:f>
              <c:numCache>
                <c:formatCode>0%</c:formatCode>
                <c:ptCount val="9"/>
                <c:pt idx="0">
                  <c:v>0.5625</c:v>
                </c:pt>
                <c:pt idx="1">
                  <c:v>0.42105263157894735</c:v>
                </c:pt>
                <c:pt idx="2">
                  <c:v>0.42857142857142855</c:v>
                </c:pt>
                <c:pt idx="3">
                  <c:v>0.33333333333333331</c:v>
                </c:pt>
                <c:pt idx="4">
                  <c:v>0.375</c:v>
                </c:pt>
                <c:pt idx="5">
                  <c:v>0.625</c:v>
                </c:pt>
                <c:pt idx="6">
                  <c:v>0.42105263157894735</c:v>
                </c:pt>
                <c:pt idx="7">
                  <c:v>0.7</c:v>
                </c:pt>
                <c:pt idx="8">
                  <c:v>0.7142857142857143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90-4A45-BE81-DD8DC0B15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381455"/>
        <c:axId val="652978959"/>
      </c:barChart>
      <c:catAx>
        <c:axId val="65138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978959"/>
        <c:crosses val="autoZero"/>
        <c:auto val="1"/>
        <c:lblAlgn val="ctr"/>
        <c:lblOffset val="100"/>
        <c:noMultiLvlLbl val="0"/>
      </c:catAx>
      <c:valAx>
        <c:axId val="65297895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38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089991020214182"/>
          <c:y val="0.95899029723681928"/>
          <c:w val="9.2495050785877247E-2"/>
          <c:h val="4.10097027631807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0</xdr:row>
      <xdr:rowOff>47106</xdr:rowOff>
    </xdr:from>
    <xdr:to>
      <xdr:col>24</xdr:col>
      <xdr:colOff>408144</xdr:colOff>
      <xdr:row>20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09C6A9-3CC0-4E9E-A766-F5D1600EF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52F7AC-D752-4320-9A2D-3E39731B99CE}" name="Table1" displayName="Table1" ref="A1:W85" totalsRowShown="0" headerRowDxfId="0" dataDxfId="1" headerRowBorderDxfId="25" tableBorderDxfId="26" totalsRowBorderDxfId="24">
  <autoFilter ref="A1:W85" xr:uid="{CC675409-5A9A-4990-9413-C25C43FAACA8}"/>
  <tableColumns count="23">
    <tableColumn id="1" xr3:uid="{9EEAF347-6F16-440C-ACD3-7A7C54411FD0}" name="Name" dataDxfId="23" dataCellStyle="Hyperlink"/>
    <tableColumn id="2" xr3:uid="{B63227DC-2FC4-4351-B77E-9C323138B539}" name="CV" dataDxfId="22"/>
    <tableColumn id="3" xr3:uid="{F2091E10-E2EE-4C06-9274-B5D07AE3333A}" name="NACID" dataDxfId="21"/>
    <tableColumn id="4" xr3:uid="{38F27482-14E5-4BA0-8FA2-9E595CF2F27A}" name="SCOPUS" dataDxfId="20" dataCellStyle="Hyperlink"/>
    <tableColumn id="5" xr3:uid="{5D27CD67-6473-4CD9-8417-E4C581F7F199}" name="Academic_title" dataDxfId="19"/>
    <tableColumn id="6" xr3:uid="{55EBD195-2C7B-4261-BA91-990A90759415}" name="Advisor" dataDxfId="18"/>
    <tableColumn id="7" xr3:uid="{13FFE2D9-BA70-41CA-95BB-A0BFDCEA8C4D}" name="Joury_head"/>
    <tableColumn id="8" xr3:uid="{080E583A-12D1-4047-A146-B1A5E3A1120F}" name="Department" dataDxfId="17"/>
    <tableColumn id="9" xr3:uid="{8B2EFABD-393C-49AA-9414-732E8343896F}" name="PHD_from_FEBA" dataDxfId="16"/>
    <tableColumn id="10" xr3:uid="{728B4BC9-475C-4BF3-AD43-3E0514B47ED8}" name="Gender" dataDxfId="15"/>
    <tableColumn id="11" xr3:uid="{7A5ED366-E2D6-443F-84A1-93AB14BB423F}" name="PHD_Awarded" dataDxfId="14"/>
    <tableColumn id="12" xr3:uid="{51BD0D42-5D9F-47E7-AB08-6C4E67A8E5C7}" name="FIRST_PT_FEBA" dataDxfId="13"/>
    <tableColumn id="13" xr3:uid="{9DFA5DEF-6E05-4165-9D57-98E9F3FAB2EC}" name="WORKED_OUTSIDE_OF_FEBA" dataDxfId="12"/>
    <tableColumn id="14" xr3:uid="{408C20F4-9F9C-48C8-AC5E-39C12E8890E9}" name="PHD_FROM_UNWE" dataDxfId="11"/>
    <tableColumn id="15" xr3:uid="{96E225D0-2359-4CA7-9458-F716EF9CDF4A}" name="AI" dataDxfId="10"/>
    <tableColumn id="16" xr3:uid="{DA031220-D25F-4B9E-8F11-279E11913B81}" name="AI_corr" dataDxfId="9"/>
    <tableColumn id="17" xr3:uid="{5E66CE84-81C0-4B84-88C1-58B76A653EEE}" name="Time_from_phd_to_FEBA" dataDxfId="8"/>
    <tableColumn id="18" xr3:uid="{FAF88A6E-A9CF-4D8D-A0CB-4B0293D12317}" name="Q1_Scopus" dataDxfId="7"/>
    <tableColumn id="19" xr3:uid="{CEADFBEE-53C6-46B7-B4FE-9A2F0893281A}" name="Scopus_all" dataDxfId="6"/>
    <tableColumn id="20" xr3:uid="{6BBE5CF0-1ECA-41B8-A714-8BBB03A3EF61}" name="International_collaboration" dataDxfId="5"/>
    <tableColumn id="21" xr3:uid="{E573CED7-2C95-49A1-88CB-BF2D75F65F3B}" name="Only_national_collab" dataDxfId="4"/>
    <tableColumn id="22" xr3:uid="{A86F161A-F02C-49E3-BB23-F9707CEA6AFF}" name="Only_institutional_collaboration" dataDxfId="3"/>
    <tableColumn id="23" xr3:uid="{952DD202-E1CF-4E6E-A0A2-E36833434A37}" name="only_author" dataDxfId="2">
      <calculatedColumnFormula>IF(S2&gt;0,1-(T2+U2+V2),0)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gl_as_d_r_ivajlo_najdenov" TargetMode="External"/><Relationship Id="rId21" Type="http://schemas.openxmlformats.org/officeDocument/2006/relationships/hyperlink" Target="https://www.uni-sofia.bg/index.php/bul/content/download/294794/1919570/version/1/file/CV+-+%D0%A6%D0%B2%D0%B5%D1%82%D0%B0%D0%BD+%D0%9C%D0%B0%D0%B4%D0%B0%D0%BD%D1%81%D0%BA%D0%B8.pdf" TargetMode="External"/><Relationship Id="rId42" Type="http://schemas.openxmlformats.org/officeDocument/2006/relationships/hyperlink" Target="https://www.uni-sofia.bg/index.php/bul/universitet_t/fakulteti/stopanski_fakultet/katedri_i_akademichen_s_stav/katedri/stopansko_upravlenie/prepodavateli_katedra_stopansko_upravlenie/gl_as_d_r_kiril_velichkov" TargetMode="External"/><Relationship Id="rId63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doc_d_r_bancho_banov" TargetMode="External"/><Relationship Id="rId84" Type="http://schemas.openxmlformats.org/officeDocument/2006/relationships/hyperlink" Target="https://ras.nacid.bg/dissertation-preview/42798" TargetMode="External"/><Relationship Id="rId138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andrej_vasilev" TargetMode="External"/><Relationship Id="rId159" Type="http://schemas.openxmlformats.org/officeDocument/2006/relationships/hyperlink" Target="https://ras.nacid.bg/dissertation-preview/74494" TargetMode="External"/><Relationship Id="rId170" Type="http://schemas.openxmlformats.org/officeDocument/2006/relationships/hyperlink" Target="https://www.scopus.com/authid/detail.uri?authorId=57203805215&amp;origin=resultslist" TargetMode="External"/><Relationship Id="rId191" Type="http://schemas.openxmlformats.org/officeDocument/2006/relationships/hyperlink" Target="https://www.scopus.com/results/results.uri?sort=plf-f&amp;src=s&amp;st1=&amp;st2=&amp;nlo=1&amp;nlr=20&amp;nls=count-f&amp;sid=45457dba89d0aff3e5cf702414294e58&amp;sot=anl&amp;sdt=aut&amp;sl=36&amp;s=AU-ID%28%22Pantcheva%2C+Reni%22+58000918800%29&amp;txGid=3ce1f4c94a1da5dbc68a1b20269d7721&amp;sessionSearchId=45457dba89d0aff3e5cf702414294e58&amp;limit=10" TargetMode="External"/><Relationship Id="rId205" Type="http://schemas.openxmlformats.org/officeDocument/2006/relationships/hyperlink" Target="https://ras.nacid.bg/dissertation-preview/75686" TargetMode="External"/><Relationship Id="rId107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prof_d_ik_n_sonya_mileva_bozhanova" TargetMode="External"/><Relationship Id="rId11" Type="http://schemas.openxmlformats.org/officeDocument/2006/relationships/hyperlink" Target="https://www.uni-sofia.bg/index.php/bul/universitet_t/fakulteti/stopanski_fakultet/katedri_i_akademichen_s_stav/katedri/ikonomika/prepodavateli_katedra_ikonomika/gl_as_d_r_stoyan_shalamanov" TargetMode="External"/><Relationship Id="rId32" Type="http://schemas.openxmlformats.org/officeDocument/2006/relationships/hyperlink" Target="https://www.uni-sofia.bg/index.php/bul/universitet_t/fakulteti/stopanski_fakultet/katedri_i_akademichen_s_stav/katedri/stopansko_upravlenie/prepodavateli_katedra_stopansko_upravlenie/prof_d_ik_n_zhelyu_vladimirov_r4" TargetMode="External"/><Relationship Id="rId53" Type="http://schemas.openxmlformats.org/officeDocument/2006/relationships/hyperlink" Target="https://csd.eu/bg/experts/expert/Todor-Yalamov/" TargetMode="External"/><Relationship Id="rId74" Type="http://schemas.openxmlformats.org/officeDocument/2006/relationships/hyperlink" Target="https://ras.nacid.bg/dissertation-preview/43162" TargetMode="External"/><Relationship Id="rId128" Type="http://schemas.openxmlformats.org/officeDocument/2006/relationships/hyperlink" Target="https://ras.nacid.bg/dissertation-preview/47260" TargetMode="External"/><Relationship Id="rId149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as_dzhejms_osondu" TargetMode="External"/><Relationship Id="rId5" Type="http://schemas.openxmlformats.org/officeDocument/2006/relationships/hyperlink" Target="https://www.uni-sofia.bg/index.php/bul/universitet_t/fakulteti/stopanski_fakultet/katedri_i_akademichen_s_stav/katedri/ikonomika/prepodavateli_katedra_ikonomika/doc_d_r_sonya_cvetanova_georgieva" TargetMode="External"/><Relationship Id="rId95" Type="http://schemas.openxmlformats.org/officeDocument/2006/relationships/hyperlink" Target="https://ras.nacid.bg/dissertation-preview/25819" TargetMode="External"/><Relationship Id="rId160" Type="http://schemas.openxmlformats.org/officeDocument/2006/relationships/hyperlink" Target="https://ras.nacid.bg/dissertation-preview/3450" TargetMode="External"/><Relationship Id="rId181" Type="http://schemas.openxmlformats.org/officeDocument/2006/relationships/hyperlink" Target="https://ras.nacid.bg/dissertation-preview/74742" TargetMode="External"/><Relationship Id="rId216" Type="http://schemas.openxmlformats.org/officeDocument/2006/relationships/hyperlink" Target="https://www.uni-sofia.bg/index.php/bul/universitet_t/fakulteti/stopanski_fakultet/katedri_i_akademichen_s_stav/katedri/izsledovateli_r4_r3_r2_r1/d_r_daniel_nigohosyan_r2" TargetMode="External"/><Relationship Id="rId22" Type="http://schemas.openxmlformats.org/officeDocument/2006/relationships/hyperlink" Target="https://www.uni-sofia.bg/index.php/bul/content/download/253422/1669051/version/1/file/CV_Stela+Raleva__Bg.pdf" TargetMode="External"/><Relationship Id="rId43" Type="http://schemas.openxmlformats.org/officeDocument/2006/relationships/hyperlink" Target="https://www.uni-sofia.bg/index.php/bul/universitet_t/fakulteti/stopanski_fakultet/katedri_i_akademichen_s_stav/katedri/stopansko_upravlenie/prepodavateli_katedra_stopansko_upravlenie/gl_as_d_r_irena_mladenova" TargetMode="External"/><Relationship Id="rId64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doc_d_r_iliyana_ankova" TargetMode="External"/><Relationship Id="rId118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gl_as_d_r_mariya_trifonova" TargetMode="External"/><Relationship Id="rId139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boryana_pelova" TargetMode="External"/><Relationship Id="rId85" Type="http://schemas.openxmlformats.org/officeDocument/2006/relationships/hyperlink" Target="https://ras.nacid.bg/dissertation-preview/58317" TargetMode="External"/><Relationship Id="rId150" Type="http://schemas.openxmlformats.org/officeDocument/2006/relationships/hyperlink" Target="https://ras.nacid.bg/dissertation-preview/30038" TargetMode="External"/><Relationship Id="rId171" Type="http://schemas.openxmlformats.org/officeDocument/2006/relationships/hyperlink" Target="https://www.scopus.com/authid/detail.uri?authorId=57832339600" TargetMode="External"/><Relationship Id="rId192" Type="http://schemas.openxmlformats.org/officeDocument/2006/relationships/hyperlink" Target="https://www.scopus.com/authid/detail.uri?authorId=60184186700&amp;origin=resultslist" TargetMode="External"/><Relationship Id="rId206" Type="http://schemas.openxmlformats.org/officeDocument/2006/relationships/hyperlink" Target="https://ras.nacid.bg/dissertation-preview/13336" TargetMode="External"/><Relationship Id="rId12" Type="http://schemas.openxmlformats.org/officeDocument/2006/relationships/hyperlink" Target="https://www.uni-sofia.bg/index.php/bul/universitet_t/fakulteti/stopanski_fakultet/katedri_i_akademichen_s_stav/katedri/ikonomika/prepodavateli_katedra_ikonomika/as_d_r_radostina_ivcheva_georgieva" TargetMode="External"/><Relationship Id="rId33" Type="http://schemas.openxmlformats.org/officeDocument/2006/relationships/hyperlink" Target="https://www.uni-sofia.bg/index.php/bul/universitet_t/fakulteti/stopanski_fakultet/katedri_i_akademichen_s_stav/katedri/stopansko_upravlenie/prepodavateli_katedra_stopansko_upravlenie/prof_d_ik_n_nevyana_kr_steva" TargetMode="External"/><Relationship Id="rId108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prof_d_r_georgi_mengov" TargetMode="External"/><Relationship Id="rId129" Type="http://schemas.openxmlformats.org/officeDocument/2006/relationships/hyperlink" Target="https://ras.nacid.bg/dissertation-preview/46168" TargetMode="External"/><Relationship Id="rId54" Type="http://schemas.openxmlformats.org/officeDocument/2006/relationships/hyperlink" Target="https://www.linkedin.com/in/kiril-velitchkov-phd-7950366/" TargetMode="External"/><Relationship Id="rId75" Type="http://schemas.openxmlformats.org/officeDocument/2006/relationships/hyperlink" Target="https://ras.nacid.bg/dissertation-preview/13336" TargetMode="External"/><Relationship Id="rId96" Type="http://schemas.openxmlformats.org/officeDocument/2006/relationships/hyperlink" Target="https://ras.nacid.bg/dissertation-preview/41407" TargetMode="External"/><Relationship Id="rId140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boyan_lomev" TargetMode="External"/><Relationship Id="rId161" Type="http://schemas.openxmlformats.org/officeDocument/2006/relationships/hyperlink" Target="https://ras.nacid.bg/dissertation-preview/3699" TargetMode="External"/><Relationship Id="rId182" Type="http://schemas.openxmlformats.org/officeDocument/2006/relationships/hyperlink" Target="https://ras.nacid.bg/dissertation-preview/9802" TargetMode="External"/><Relationship Id="rId217" Type="http://schemas.openxmlformats.org/officeDocument/2006/relationships/hyperlink" Target="https://www.uni-sofia.bg/index.php/bul/universitet_t/fakulteti/stopanski_fakultet/katedri_i_akademichen_s_stav/katedri/izsledovateli_r4_r3_r2_r1/prof_d_ik_n_zhelyu_vladimirov_r4" TargetMode="External"/><Relationship Id="rId6" Type="http://schemas.openxmlformats.org/officeDocument/2006/relationships/hyperlink" Target="https://www.uni-sofia.bg/index.php/bul/universitet_t/fakulteti/stopanski_fakultet/katedri_i_akademichen_s_stav/katedri/ikonomika/prepodavateli_katedra_ikonomika/doc_d_r_cvetan_madanski" TargetMode="External"/><Relationship Id="rId23" Type="http://schemas.openxmlformats.org/officeDocument/2006/relationships/hyperlink" Target="https://www.uni-sofia.bg/index.php/bul/content/download/261454/1718561/version/1/file/CV+Daniel+Kasabov+-+BG.pdf" TargetMode="External"/><Relationship Id="rId119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gl_as_d_r_martina_arabadzhieva" TargetMode="External"/><Relationship Id="rId44" Type="http://schemas.openxmlformats.org/officeDocument/2006/relationships/hyperlink" Target="https://www.uni-sofia.bg/index.php/bul/universitet_t/fakulteti/stopanski_fakultet/katedri_i_akademichen_s_stav/katedri/stopansko_upravlenie/prepodavateli_katedra_stopansko_upravlenie/gl_as_d_r_aleksej_potebnya" TargetMode="External"/><Relationship Id="rId65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doc_d_r_marselen_jovogan" TargetMode="External"/><Relationship Id="rId86" Type="http://schemas.openxmlformats.org/officeDocument/2006/relationships/hyperlink" Target="https://ras.nacid.bg/dissertation-preview/58027" TargetMode="External"/><Relationship Id="rId130" Type="http://schemas.openxmlformats.org/officeDocument/2006/relationships/hyperlink" Target="https://ras.nacid.bg/dissertation-preview/45899" TargetMode="External"/><Relationship Id="rId151" Type="http://schemas.openxmlformats.org/officeDocument/2006/relationships/hyperlink" Target="https://ras.nacid.bg/dissertation-preview/3857" TargetMode="External"/><Relationship Id="rId172" Type="http://schemas.openxmlformats.org/officeDocument/2006/relationships/hyperlink" Target="https://www.scopus.com/authid/detail.uri?authorId=57222148408" TargetMode="External"/><Relationship Id="rId193" Type="http://schemas.openxmlformats.org/officeDocument/2006/relationships/hyperlink" Target="https://www.scopus.com/authid/detail.uri?authorId=55279824500&amp;origin=resultslist" TargetMode="External"/><Relationship Id="rId207" Type="http://schemas.openxmlformats.org/officeDocument/2006/relationships/hyperlink" Target="https://ras.nacid.bg/dissertation-preview/27507" TargetMode="External"/><Relationship Id="rId13" Type="http://schemas.openxmlformats.org/officeDocument/2006/relationships/hyperlink" Target="https://www.uni-sofia.bg/index.php/bul/universitet_t/fakulteti/stopanski_fakultet/katedri_i_akademichen_s_stav/katedri/ikonomika/prepodavateli_katedra_ikonomika/as_dilyana_slavova" TargetMode="External"/><Relationship Id="rId109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prof_d_r_svetlana_byalkova" TargetMode="External"/><Relationship Id="rId34" Type="http://schemas.openxmlformats.org/officeDocument/2006/relationships/hyperlink" Target="https://www.uni-sofia.bg/index.php/bul/universitet_t/fakulteti/stopanski_fakultet/katedri_i_akademichen_s_stav/katedri/stopansko_upravlenie/prepodavateli_katedra_stopansko_upravlenie/prof_d_ik_n_desislava_jordanova" TargetMode="External"/><Relationship Id="rId55" Type="http://schemas.openxmlformats.org/officeDocument/2006/relationships/hyperlink" Target="https://www.uni-sofia.bg/index.php/bul/universitet_t/fakulteti/stopanski_fakultet/katedri_i_akademichen_s_stav/katedri/stopansko_upravlenie/prepodavateli_katedra_stopansko_upravlenie/as_teodor_daskalov" TargetMode="External"/><Relationship Id="rId76" Type="http://schemas.openxmlformats.org/officeDocument/2006/relationships/hyperlink" Target="https://ras.nacid.bg/dissertation-preview/13764" TargetMode="External"/><Relationship Id="rId97" Type="http://schemas.openxmlformats.org/officeDocument/2006/relationships/hyperlink" Target="https://ras.nacid.bg/dissertation-preview/37795" TargetMode="External"/><Relationship Id="rId120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gl_as_d_r_pet_r_tashev" TargetMode="External"/><Relationship Id="rId141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kaloyan_ganev" TargetMode="External"/><Relationship Id="rId7" Type="http://schemas.openxmlformats.org/officeDocument/2006/relationships/hyperlink" Target="https://www.uni-sofia.bg/index.php/bul/universitet_t/fakulteti/stopanski_fakultet/katedri_i_akademichen_s_stav/katedri/ikonomika/prepodavateli_katedra_ikonomika/gl_as_d_r_daniel_kasabov" TargetMode="External"/><Relationship Id="rId162" Type="http://schemas.openxmlformats.org/officeDocument/2006/relationships/hyperlink" Target="https://ras.nacid.bg/dissertation-preview/44549" TargetMode="External"/><Relationship Id="rId183" Type="http://schemas.openxmlformats.org/officeDocument/2006/relationships/hyperlink" Target="https://ras.nacid.bg/dissertation-preview/41863" TargetMode="External"/><Relationship Id="rId218" Type="http://schemas.openxmlformats.org/officeDocument/2006/relationships/hyperlink" Target="https://www.uni-sofia.bg/index.php/bul/universitet_t/fakulteti/stopanski_fakultet/katedri_i_akademichen_s_stav/katedri/izsledovateli_r4_r3_r2_r1/prof_d_r_albena_vucova_r4" TargetMode="External"/><Relationship Id="rId24" Type="http://schemas.openxmlformats.org/officeDocument/2006/relationships/hyperlink" Target="https://www.uni-sofia.bg/index.php/bul/content/download/249378/1644449/version/1/file/%D0%98%D0%BB%D0%B8%D1%8F+%D0%90%D1%82%D0%B0%D0%BD%D0%B0%D1%81%D0%BE%D0%B2+CV-BG.pdf" TargetMode="External"/><Relationship Id="rId45" Type="http://schemas.openxmlformats.org/officeDocument/2006/relationships/hyperlink" Target="https://www.uni-sofia.bg/index.php/bul/universitet_t/fakulteti/stopanski_fakultet/katedri_i_akademichen_s_stav/katedri/stopansko_upravlenie/prepodavateli_katedra_stopansko_upravlenie/as_d_r_zlatina_mihajlova" TargetMode="External"/><Relationship Id="rId66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gl_as_d_r_georgi_ganev" TargetMode="External"/><Relationship Id="rId87" Type="http://schemas.openxmlformats.org/officeDocument/2006/relationships/hyperlink" Target="https://ras.nacid.bg/dissertation-preview/59979" TargetMode="External"/><Relationship Id="rId110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prof_d_r_teodora_georgieva" TargetMode="External"/><Relationship Id="rId131" Type="http://schemas.openxmlformats.org/officeDocument/2006/relationships/hyperlink" Target="https://ras.nacid.bg/dissertation-preview/75878" TargetMode="External"/><Relationship Id="rId152" Type="http://schemas.openxmlformats.org/officeDocument/2006/relationships/hyperlink" Target="https://ras.nacid.bg/dissertation-preview/66176" TargetMode="External"/><Relationship Id="rId173" Type="http://schemas.openxmlformats.org/officeDocument/2006/relationships/hyperlink" Target="https://www.scopus.com/authid/detail.uri?authorId=56806829900&amp;origin=resultslist" TargetMode="External"/><Relationship Id="rId194" Type="http://schemas.openxmlformats.org/officeDocument/2006/relationships/hyperlink" Target="https://www.scopus.com/authid/detail.uri?authorId=55847592700&amp;origin=resultslist" TargetMode="External"/><Relationship Id="rId208" Type="http://schemas.openxmlformats.org/officeDocument/2006/relationships/hyperlink" Target="https://www.uni-sofia.bg/index.php/bul/universitet_t/fakulteti/stopanski_fakultet/katedri_i_akademichen_s_stav/katedri/izsledovateli_r4_r3_r2_r1/linlin_ma_r1" TargetMode="External"/><Relationship Id="rId14" Type="http://schemas.openxmlformats.org/officeDocument/2006/relationships/hyperlink" Target="https://www.uni-sofia.bg/index.php/bul/universitet_t/fakulteti/stopanski_fakultet/katedri_i_akademichen_s_stav/katedri/ikonomika/prepodavateli_katedra_ikonomika/as_iliya_lingorski" TargetMode="External"/><Relationship Id="rId35" Type="http://schemas.openxmlformats.org/officeDocument/2006/relationships/hyperlink" Target="https://www.uni-sofia.bg/index.php/bul/universitet_t/fakulteti/stopanski_fakultet/katedri_i_akademichen_s_stav/katedri/stopansko_upravlenie/prepodavateli_katedra_stopansko_upravlenie/prof_d_r_vladya_borisova" TargetMode="External"/><Relationship Id="rId56" Type="http://schemas.openxmlformats.org/officeDocument/2006/relationships/hyperlink" Target="https://www.linkedin.com/in/janetnaidenova/" TargetMode="External"/><Relationship Id="rId77" Type="http://schemas.openxmlformats.org/officeDocument/2006/relationships/hyperlink" Target="https://ras.nacid.bg/dissertation-preview/41048" TargetMode="External"/><Relationship Id="rId100" Type="http://schemas.openxmlformats.org/officeDocument/2006/relationships/hyperlink" Target="https://ras.nacid.bg/dissertation-preview/43381" TargetMode="External"/><Relationship Id="rId8" Type="http://schemas.openxmlformats.org/officeDocument/2006/relationships/hyperlink" Target="https://www.uni-sofia.bg/index.php/bul/universitet_t/fakulteti/stopanski_fakultet/katedri_i_akademichen_s_stav/katedri/ikonomika/prepodavateli_katedra_ikonomika/gl_as_d_r_iliya_atanasov" TargetMode="External"/><Relationship Id="rId98" Type="http://schemas.openxmlformats.org/officeDocument/2006/relationships/hyperlink" Target="https://ras.nacid.bg/dissertation-preview/38723" TargetMode="External"/><Relationship Id="rId121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as_d_r_reni_pancheva" TargetMode="External"/><Relationship Id="rId142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mariyan_milev" TargetMode="External"/><Relationship Id="rId163" Type="http://schemas.openxmlformats.org/officeDocument/2006/relationships/hyperlink" Target="https://ras.nacid.bg/dissertation-preview/28187" TargetMode="External"/><Relationship Id="rId184" Type="http://schemas.openxmlformats.org/officeDocument/2006/relationships/hyperlink" Target="https://ras.nacid.bg/dissertation-preview/61990" TargetMode="External"/><Relationship Id="rId219" Type="http://schemas.openxmlformats.org/officeDocument/2006/relationships/hyperlink" Target="https://ras.nacid.bg/dissertation-preview/42256" TargetMode="External"/><Relationship Id="rId3" Type="http://schemas.openxmlformats.org/officeDocument/2006/relationships/hyperlink" Target="https://www.uni-sofia.bg/index.php/bul/universitet_t/fakulteti/stopanski_fakultet/katedri_i_akademichen_s_stav/katedri/ikonomika/prepodavateli_katedra_ikonomika/prof_d_r_vanya_ivanova" TargetMode="External"/><Relationship Id="rId214" Type="http://schemas.openxmlformats.org/officeDocument/2006/relationships/hyperlink" Target="https://www.uni-sofia.bg/index.php/bul/universitet_t/fakulteti/stopanski_fakultet/katedri_i_akademichen_s_stav/katedri/izsledovateli_r4_r3_r2_r1/d_r_olga_ignatova_r2" TargetMode="External"/><Relationship Id="rId25" Type="http://schemas.openxmlformats.org/officeDocument/2006/relationships/hyperlink" Target="https://www.uni-sofia.bg/index.php/bul/content/download/296762/1931221/version/1/file/CV+BG+-+%D0%A0%D0%BE%D1%81%D0%B8%D1%86%D0%B0+%D0%97%D0%BB%D0%B0%D1%82%D0%B8%D0%BD%D1%81%D0%BA%D0%B0.pdf" TargetMode="External"/><Relationship Id="rId46" Type="http://schemas.openxmlformats.org/officeDocument/2006/relationships/hyperlink" Target="https://www.uni-sofia.bg/index.php/bul/universitet_t/fakulteti/stopanski_fakultet/katedri_i_akademichen_s_stav/katedri/stopansko_upravlenie/prepodavateli_katedra_stopansko_upravlenie/as_d_r_nikoleta_vojnova" TargetMode="External"/><Relationship Id="rId67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gl_as_d_r_stojko_mitov" TargetMode="External"/><Relationship Id="rId116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gl_as_d_r_emil_mitov" TargetMode="External"/><Relationship Id="rId137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angel_a_marchev" TargetMode="External"/><Relationship Id="rId158" Type="http://schemas.openxmlformats.org/officeDocument/2006/relationships/hyperlink" Target="https://ras.nacid.bg/dissertation-preview/16828" TargetMode="External"/><Relationship Id="rId20" Type="http://schemas.openxmlformats.org/officeDocument/2006/relationships/hyperlink" Target="https://www.uni-sofia.bg/index.php/bul/universitet_t/fakulteti/stopanski_fakultet/katedri_i_akademichen_s_stav/katedri/ikonomika/prepodavateli_katedra_ikonomika/doc_d_r_sonya_cvetanova_georgieva" TargetMode="External"/><Relationship Id="rId41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raya_kanazireva" TargetMode="External"/><Relationship Id="rId62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doc_d_r_adrian_marinchev" TargetMode="External"/><Relationship Id="rId83" Type="http://schemas.openxmlformats.org/officeDocument/2006/relationships/hyperlink" Target="https://ras.nacid.bg/dissertation-preview/47599" TargetMode="External"/><Relationship Id="rId88" Type="http://schemas.openxmlformats.org/officeDocument/2006/relationships/hyperlink" Target="https://ras.nacid.bg/dissertation-preview/65111" TargetMode="External"/><Relationship Id="rId111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prof_d_r_fantina_rangelova" TargetMode="External"/><Relationship Id="rId132" Type="http://schemas.openxmlformats.org/officeDocument/2006/relationships/hyperlink" Target="https://ras.nacid.bg/dissertation-preview/58843" TargetMode="External"/><Relationship Id="rId153" Type="http://schemas.openxmlformats.org/officeDocument/2006/relationships/hyperlink" Target="https://ras.nacid.bg/dissertations-search" TargetMode="External"/><Relationship Id="rId174" Type="http://schemas.openxmlformats.org/officeDocument/2006/relationships/hyperlink" Target="https://ras.nacid.bg/dissertation-preview/31155" TargetMode="External"/><Relationship Id="rId179" Type="http://schemas.openxmlformats.org/officeDocument/2006/relationships/hyperlink" Target="https://ras.nacid.bg/dissertation-preview/69769" TargetMode="External"/><Relationship Id="rId195" Type="http://schemas.openxmlformats.org/officeDocument/2006/relationships/hyperlink" Target="https://www.scopus.com/authid/detail.uri?authorId=57614198900&amp;origin=recordpage" TargetMode="External"/><Relationship Id="rId209" Type="http://schemas.openxmlformats.org/officeDocument/2006/relationships/hyperlink" Target="https://www.uni-sofia.bg/index.php/bul/universitet_t/fakulteti/stopanski_fakultet/katedri_i_akademichen_s_stav/katedri/izsledovateli_r4_r3_r2_r1/zlatan_dimitrov_r1" TargetMode="External"/><Relationship Id="rId190" Type="http://schemas.openxmlformats.org/officeDocument/2006/relationships/hyperlink" Target="https://www.scopus.com/authid/detail.uri?authorId=57224570337&amp;origin=resultslist" TargetMode="External"/><Relationship Id="rId204" Type="http://schemas.openxmlformats.org/officeDocument/2006/relationships/hyperlink" Target="https://ras.nacid.bg/dissertation-preview/48034" TargetMode="External"/><Relationship Id="rId220" Type="http://schemas.openxmlformats.org/officeDocument/2006/relationships/hyperlink" Target="https://ras.nacid.bg/dissertation-preview/43740" TargetMode="External"/><Relationship Id="rId225" Type="http://schemas.openxmlformats.org/officeDocument/2006/relationships/comments" Target="../comments1.xml"/><Relationship Id="rId15" Type="http://schemas.openxmlformats.org/officeDocument/2006/relationships/hyperlink" Target="https://www.uni-sofia.bg/index.php/bul/universitet_t/fakulteti/stopanski_fakultet/katedri_i_akademichen_s_stav/katedri/ikonomika/prepodavateli_katedra_ikonomika/as_lidiya_kabatlijska_andonova" TargetMode="External"/><Relationship Id="rId36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miroslava_hristova" TargetMode="External"/><Relationship Id="rId57" Type="http://schemas.openxmlformats.org/officeDocument/2006/relationships/hyperlink" Target="https://www.uni-sofia.bg/index.php/bul/content/download/336781/2169050/version/1/file/1.2.+%D0%9D%D0%B8%D0%BA%D0%BE%D0%BB%D0%B5%D1%82%D0%B0+%D0%92%D0%BE%D0%B9%D0%BD%D0%BE%D0%B2%D0%B0-CV-BG-2025.doc" TargetMode="External"/><Relationship Id="rId106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prof_d_ik_n_anton_gerunov" TargetMode="External"/><Relationship Id="rId127" Type="http://schemas.openxmlformats.org/officeDocument/2006/relationships/hyperlink" Target="https://ras.nacid.bg/dissertation-preview/27528" TargetMode="External"/><Relationship Id="rId10" Type="http://schemas.openxmlformats.org/officeDocument/2006/relationships/hyperlink" Target="https://www.uni-sofia.bg/index.php/bul/universitet_t/fakulteti/stopanski_fakultet/katedri_i_akademichen_s_stav/katedri/ikonomika/prepodavateli_katedra_ikonomika/gl_as_d_r_lyuben_ivanov" TargetMode="External"/><Relationship Id="rId31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olimpiya_ved_r_velichkova_r_kovoditel_katedra" TargetMode="External"/><Relationship Id="rId52" Type="http://schemas.openxmlformats.org/officeDocument/2006/relationships/hyperlink" Target="https://www.uni-sofia.bg/index.php/bul/content/download/233490/1553846/version/1/file/CV_DYordanova.pdf" TargetMode="External"/><Relationship Id="rId73" Type="http://schemas.openxmlformats.org/officeDocument/2006/relationships/hyperlink" Target="https://ras.nacid.bg/dissertation-preview/37884" TargetMode="External"/><Relationship Id="rId78" Type="http://schemas.openxmlformats.org/officeDocument/2006/relationships/hyperlink" Target="https://ras.nacid.bg/dissertation-preview/30186" TargetMode="External"/><Relationship Id="rId94" Type="http://schemas.openxmlformats.org/officeDocument/2006/relationships/hyperlink" Target="https://ras.nacid.bg/dissertation-preview/29943" TargetMode="External"/><Relationship Id="rId99" Type="http://schemas.openxmlformats.org/officeDocument/2006/relationships/hyperlink" Target="https://ras.nacid.bg/dissertation-preview/12108" TargetMode="External"/><Relationship Id="rId101" Type="http://schemas.openxmlformats.org/officeDocument/2006/relationships/hyperlink" Target="https://ras.nacid.bg/dissertation-preview/48035" TargetMode="External"/><Relationship Id="rId122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as_vasil_karaivanov" TargetMode="External"/><Relationship Id="rId143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radostin_vazov" TargetMode="External"/><Relationship Id="rId148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gl_as_d_r_bojko_amarov" TargetMode="External"/><Relationship Id="rId164" Type="http://schemas.openxmlformats.org/officeDocument/2006/relationships/hyperlink" Target="https://ras.nacid.bg/dissertation-preview/30969" TargetMode="External"/><Relationship Id="rId169" Type="http://schemas.openxmlformats.org/officeDocument/2006/relationships/hyperlink" Target="https://www.scopus.com/authid/detail.uri?authorId=57200674599" TargetMode="External"/><Relationship Id="rId185" Type="http://schemas.openxmlformats.org/officeDocument/2006/relationships/hyperlink" Target="https://www.scopus.com/authid/detail.uri?authorId=57202109484&amp;origin=resultslist" TargetMode="External"/><Relationship Id="rId4" Type="http://schemas.openxmlformats.org/officeDocument/2006/relationships/hyperlink" Target="https://www.uni-sofia.bg/index.php/bul/universitet_t/fakulteti/stopanski_fakultet/katedri_i_akademichen_s_stav/katedri/ikonomika/prepodavateli_katedra_ikonomika/doc_d_r_milen_velushev" TargetMode="External"/><Relationship Id="rId9" Type="http://schemas.openxmlformats.org/officeDocument/2006/relationships/hyperlink" Target="https://www.uni-sofia.bg/index.php/bul/universitet_t/fakulteti/stopanski_fakultet/katedri_i_akademichen_s_stav/katedri/ikonomika/prepodavateli_katedra_ikonomika/gl_as_d_r_rosica_zlatinska" TargetMode="External"/><Relationship Id="rId180" Type="http://schemas.openxmlformats.org/officeDocument/2006/relationships/hyperlink" Target="https://ras.nacid.bg/dissertation-preview/67487" TargetMode="External"/><Relationship Id="rId210" Type="http://schemas.openxmlformats.org/officeDocument/2006/relationships/hyperlink" Target="https://www.uni-sofia.bg/index.php/bul/universitet_t/fakulteti/stopanski_fakultet/katedri_i_akademichen_s_stav/katedri/izsledovateli_r4_r3_r2_r1/aneliya_stefanova_r1" TargetMode="External"/><Relationship Id="rId215" Type="http://schemas.openxmlformats.org/officeDocument/2006/relationships/hyperlink" Target="https://www.uni-sofia.bg/index.php/bul/universitet_t/fakulteti/stopanski_fakultet/katedri_i_akademichen_s_stav/katedri/izsledovateli_r4_r3_r2_r1/d_r_mihail_raev_r2" TargetMode="External"/><Relationship Id="rId26" Type="http://schemas.openxmlformats.org/officeDocument/2006/relationships/hyperlink" Target="https://www.uni-sofia.bg/index.php/bul/content/download/295181/1922122/version/1/file/Lyuben+Ivanov+CV+%28bg%29.pdf" TargetMode="External"/><Relationship Id="rId47" Type="http://schemas.openxmlformats.org/officeDocument/2006/relationships/hyperlink" Target="https://www.uni-sofia.bg/index.php/bul/universitet_t/fakulteti/stopanski_fakultet/katedri_i_akademichen_s_stav/katedri/stopansko_upravlenie/prepodavateli_katedra_stopansko_upravlenie/as_zhanet_najdenova" TargetMode="External"/><Relationship Id="rId68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gl_as_d_r_nikolaj_kacarski" TargetMode="External"/><Relationship Id="rId89" Type="http://schemas.openxmlformats.org/officeDocument/2006/relationships/hyperlink" Target="https://ras.nacid.bg/dissertation-preview/73965" TargetMode="External"/><Relationship Id="rId112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atanas_georgiev_dekan" TargetMode="External"/><Relationship Id="rId133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nikolaj_netov_r_kovoditel_katedra" TargetMode="External"/><Relationship Id="rId154" Type="http://schemas.openxmlformats.org/officeDocument/2006/relationships/hyperlink" Target="https://ras.nacid.bg/dissertation-preview/29843" TargetMode="External"/><Relationship Id="rId175" Type="http://schemas.openxmlformats.org/officeDocument/2006/relationships/hyperlink" Target="https://ras.nacid.bg/dissertation-preview/27544" TargetMode="External"/><Relationship Id="rId196" Type="http://schemas.openxmlformats.org/officeDocument/2006/relationships/hyperlink" Target="https://www.scopus.com/authid/detail.uri?authorId=59293941200&amp;origin=resultslist" TargetMode="External"/><Relationship Id="rId200" Type="http://schemas.openxmlformats.org/officeDocument/2006/relationships/hyperlink" Target="https://www.scopus.com/authid/detail.uri?authorId=57615520700&amp;origin=resultslist" TargetMode="External"/><Relationship Id="rId16" Type="http://schemas.openxmlformats.org/officeDocument/2006/relationships/hyperlink" Target="https://www.uni-sofia.bg/index.php/bul/content/download/346778/2228517/version/1/file/CV+DZlatinov+BG+18.01.2026.pdf" TargetMode="External"/><Relationship Id="rId221" Type="http://schemas.openxmlformats.org/officeDocument/2006/relationships/hyperlink" Target="https://ras.nacid.bg/dissertation-preview/37622" TargetMode="External"/><Relationship Id="rId37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todor_yal_mov" TargetMode="External"/><Relationship Id="rId58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doc_d_r_bozhidar_nedev_r_kovoditel_katedra" TargetMode="External"/><Relationship Id="rId79" Type="http://schemas.openxmlformats.org/officeDocument/2006/relationships/hyperlink" Target="https://ras.nacid.bg/dissertation-preview/30905" TargetMode="External"/><Relationship Id="rId102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gl_as_d_r_stojko_mitov" TargetMode="External"/><Relationship Id="rId123" Type="http://schemas.openxmlformats.org/officeDocument/2006/relationships/hyperlink" Target="https://ras.nacid.bg/dissertation-preview/44548" TargetMode="External"/><Relationship Id="rId144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ralica_simeonova_ganeva" TargetMode="External"/><Relationship Id="rId90" Type="http://schemas.openxmlformats.org/officeDocument/2006/relationships/hyperlink" Target="https://ras.nacid.bg/dissertation-preview/66490" TargetMode="External"/><Relationship Id="rId165" Type="http://schemas.openxmlformats.org/officeDocument/2006/relationships/hyperlink" Target="https://ras.nacid.bg/dissertation-preview/26344" TargetMode="External"/><Relationship Id="rId186" Type="http://schemas.openxmlformats.org/officeDocument/2006/relationships/hyperlink" Target="https://www.scopus.com/results/results.uri?sort=plf-f&amp;src=s&amp;st1=Potebnya&amp;st2=Aleksey&amp;nlo=1&amp;nlr=20&amp;nls=count-f&amp;sid=001ec1053d2796eedf35ef7a41329b27&amp;sot=anl&amp;sdt=aut&amp;sl=38&amp;s=AU-ID%28%22Potebnya%2C+Aleksey%22+60145455900%29&amp;txGid=69be0c7fa50991a6f3eb3087cd5d2395&amp;sessionSearchId=001ec1053d2796eedf35ef7a41329b27&amp;limit=10" TargetMode="External"/><Relationship Id="rId211" Type="http://schemas.openxmlformats.org/officeDocument/2006/relationships/hyperlink" Target="https://www.uni-sofia.bg/index.php/bul/universitet_t/fakulteti/stopanski_fakultet/katedri_i_akademichen_s_stav/katedri/izsledovateli_r4_r3_r2_r1/d_r_anna_k_osova_r1" TargetMode="External"/><Relationship Id="rId27" Type="http://schemas.openxmlformats.org/officeDocument/2006/relationships/hyperlink" Target="https://www.uni-sofia.bg/index.php/bul/content/download/249404/1644567/version/1/file/3.CV_BG+5.pdf" TargetMode="External"/><Relationship Id="rId48" Type="http://schemas.openxmlformats.org/officeDocument/2006/relationships/hyperlink" Target="https://www.uni-sofia.bg/index.php/bul/universitet_t/fakulteti/stopanski_fakultet/katedri_i_akademichen_s_stav/katedri/stopansko_upravlenie/prepodavateli_katedra_stopansko_upravlenie/as_niya_koleva_ivanova" TargetMode="External"/><Relationship Id="rId69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gl_as_d_r_mario_kasabov" TargetMode="External"/><Relationship Id="rId113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diyana_netova" TargetMode="External"/><Relationship Id="rId134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prof_d_m_n_ivan_ivanov" TargetMode="External"/><Relationship Id="rId80" Type="http://schemas.openxmlformats.org/officeDocument/2006/relationships/hyperlink" Target="https://ras.nacid.bg/dissertation-preview/43001" TargetMode="External"/><Relationship Id="rId155" Type="http://schemas.openxmlformats.org/officeDocument/2006/relationships/hyperlink" Target="https://ras.nacid.bg/dissertation-preview/42155" TargetMode="External"/><Relationship Id="rId176" Type="http://schemas.openxmlformats.org/officeDocument/2006/relationships/hyperlink" Target="https://www.uni-sofia.bg/index.php/bul/content/download/157470/1126121/version/1/file/recenzia_prof_Vidolova.pdf" TargetMode="External"/><Relationship Id="rId197" Type="http://schemas.openxmlformats.org/officeDocument/2006/relationships/hyperlink" Target="https://www.scopus.com/authid/detail.uri?authorId=57215082661" TargetMode="External"/><Relationship Id="rId201" Type="http://schemas.openxmlformats.org/officeDocument/2006/relationships/hyperlink" Target="https://www.scopus.com/results/results.uri?sort=plf-f&amp;src=s&amp;st1=Raev&amp;st2=Mikhail&amp;nlo=1&amp;nlr=20&amp;nls=count-f&amp;sid=f1378e1643a3d1279fcb87c9a3e17c31&amp;sot=anl&amp;sdt=aut&amp;sl=34&amp;s=AU-ID%28%22Raev%2C+Mikhail%22+58510363100%29&amp;txGid=9883e0d6844c8167dc5f0af3d74fc794&amp;sessionSearchId=f1378e1643a3d1279fcb87c9a3e17c31&amp;limit=10" TargetMode="External"/><Relationship Id="rId222" Type="http://schemas.openxmlformats.org/officeDocument/2006/relationships/printerSettings" Target="../printerSettings/printerSettings1.bin"/><Relationship Id="rId17" Type="http://schemas.openxmlformats.org/officeDocument/2006/relationships/hyperlink" Target="https://www.uni-sofia.bg/index.php/bul/universitet_t/fakulteti/stopanski_fakultet/katedri_i_akademichen_s_stav/katedri/ikonomika/prepodavateli_katedra_ikonomika/prof_d_r_teodor_sedlarski" TargetMode="External"/><Relationship Id="rId38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iya_petkova" TargetMode="External"/><Relationship Id="rId59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prof_d_r_viktor_jocov" TargetMode="External"/><Relationship Id="rId103" Type="http://schemas.openxmlformats.org/officeDocument/2006/relationships/hyperlink" Target="https://ras.nacid.bg/dissertation-preview/46144" TargetMode="External"/><Relationship Id="rId124" Type="http://schemas.openxmlformats.org/officeDocument/2006/relationships/hyperlink" Target="https://www.uni-sofia.bg/index.php/eng/content/download/247132/1631213/version/1/file/Savina_CV_BG.pdf" TargetMode="External"/><Relationship Id="rId70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as_velin_filipov" TargetMode="External"/><Relationship Id="rId91" Type="http://schemas.openxmlformats.org/officeDocument/2006/relationships/hyperlink" Target="https://ras.nacid.bg/dissertation-preview/75999" TargetMode="External"/><Relationship Id="rId145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gl_as_d_r_gloriya_hristova" TargetMode="External"/><Relationship Id="rId166" Type="http://schemas.openxmlformats.org/officeDocument/2006/relationships/hyperlink" Target="https://ras.nacid.bg/dissertation-preview/67405" TargetMode="External"/><Relationship Id="rId187" Type="http://schemas.openxmlformats.org/officeDocument/2006/relationships/hyperlink" Target="https://www.scopus.com/results/results.uri?sort=plf-f&amp;src=s&amp;st1=Sokolova&amp;st2=Nadya&amp;nlo=1&amp;nlr=20&amp;nls=count-f&amp;sid=97ce249b9c7b914a4acd930399e81b2c&amp;sot=anl&amp;sdt=aut&amp;sl=45&amp;s=AU-ID%28%22Velinova-Sokolova%2C+Nadya%22+58535771500%29&amp;txGid=7653ab75b76795bf2947a8b540d62b41&amp;sessionSearchId=97ce249b9c7b914a4acd930399e81b2c&amp;limit=10" TargetMode="External"/><Relationship Id="rId1" Type="http://schemas.openxmlformats.org/officeDocument/2006/relationships/hyperlink" Target="https://www.uni-sofia.bg/index.php/bul/universitet_t/fakulteti/stopanski_fakultet/katedri_i_akademichen_s_stav/katedri/ikonomika/prepodavateli_katedra_ikonomika/doc_d_r_dimit_r_zlatinov_r_kovoditel_katedra" TargetMode="External"/><Relationship Id="rId212" Type="http://schemas.openxmlformats.org/officeDocument/2006/relationships/hyperlink" Target="https://www.uni-sofia.bg/index.php/bul/universitet_t/fakulteti/stopanski_fakultet/katedri_i_akademichen_s_stav/katedri/izsledovateli_r4_r3_r2_r1/remina_aleksieva_r1" TargetMode="External"/><Relationship Id="rId28" Type="http://schemas.openxmlformats.org/officeDocument/2006/relationships/hyperlink" Target="https://www.uni-sofia.bg/index.php/bul/content/download/297402/1935034/version/1/file/CV+-+%D0%A0%D0%B0%D0%B4%D0%BE%D1%81%D1%82%D0%B8%D0%BD%D0%B0+%D0%98%D0%B2%D1%87%D0%B5%D0%B2%D0%B0.pdf" TargetMode="External"/><Relationship Id="rId49" Type="http://schemas.openxmlformats.org/officeDocument/2006/relationships/hyperlink" Target="https://www.uni-sofia.bg/index.php/bul/universitet_t/fakulteti/stopanski_fakultet/katedri_i_akademichen_s_stav/katedri/stopansko_upravlenie/prepodavateli_katedra_stopansko_upravlenie/as_teodor_daskalov" TargetMode="External"/><Relationship Id="rId114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savina_mihajlova_goleminova" TargetMode="External"/><Relationship Id="rId60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prof_d_r_eleonora_stancheva" TargetMode="External"/><Relationship Id="rId81" Type="http://schemas.openxmlformats.org/officeDocument/2006/relationships/hyperlink" Target="https://ras.nacid.bg/dissertation-preview/40606" TargetMode="External"/><Relationship Id="rId135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prof_d_r_kamen_spasov" TargetMode="External"/><Relationship Id="rId156" Type="http://schemas.openxmlformats.org/officeDocument/2006/relationships/hyperlink" Target="https://ras.nacid.bg/dissertation-preview/42668" TargetMode="External"/><Relationship Id="rId177" Type="http://schemas.openxmlformats.org/officeDocument/2006/relationships/hyperlink" Target="https://ras.nacid.bg/dissertation-preview/58774" TargetMode="External"/><Relationship Id="rId198" Type="http://schemas.openxmlformats.org/officeDocument/2006/relationships/hyperlink" Target="https://www.scopus.com/authid/detail.uri?authorId=57416479900" TargetMode="External"/><Relationship Id="rId202" Type="http://schemas.openxmlformats.org/officeDocument/2006/relationships/hyperlink" Target="https://ras.nacid.bg/dissertation-preview/76485" TargetMode="External"/><Relationship Id="rId223" Type="http://schemas.openxmlformats.org/officeDocument/2006/relationships/vmlDrawing" Target="../drawings/vmlDrawing1.vml"/><Relationship Id="rId18" Type="http://schemas.openxmlformats.org/officeDocument/2006/relationships/hyperlink" Target="https://www.uni-sofia.bg/index.php/bul/content/download/276848/1810560/version/1/file/CV-V.Ivanova.pdf" TargetMode="External"/><Relationship Id="rId39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ivan_angelov" TargetMode="External"/><Relationship Id="rId50" Type="http://schemas.openxmlformats.org/officeDocument/2006/relationships/hyperlink" Target="https://www.uni-sofia.bg/index.php/bul/content/download/253686/1670765/version/1/file/0d_CV_%D0%96%D0%B5%D0%BB%D1%8E_%D0%92%D0%BB%D0%B0%D0%B4%D0%B8%D0%BC%D0%B8%D1%80%D0%BE%D0%B2_%D0%A1%D1%82%D0%A4.pdf" TargetMode="External"/><Relationship Id="rId104" Type="http://schemas.openxmlformats.org/officeDocument/2006/relationships/hyperlink" Target="https://ras.nacid.bg/dissertation-preview/46482" TargetMode="External"/><Relationship Id="rId125" Type="http://schemas.openxmlformats.org/officeDocument/2006/relationships/hyperlink" Target="https://www.uni-sofia.bg/index.php/bul/content/download/56785/466534/version/1/file/CV-DianaBoyadzhieva.pdf" TargetMode="External"/><Relationship Id="rId146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gl_as_d_r_denica_gavrilova" TargetMode="External"/><Relationship Id="rId167" Type="http://schemas.openxmlformats.org/officeDocument/2006/relationships/hyperlink" Target="https://ras.nacid.bg/dissertation-preview/70108" TargetMode="External"/><Relationship Id="rId188" Type="http://schemas.openxmlformats.org/officeDocument/2006/relationships/hyperlink" Target="https://www.scopus.com/results/results.uri?sort=plf-f&amp;src=s&amp;st1=Goleminova&amp;st2=Savina&amp;nlo=1&amp;nlr=20&amp;nls=count-f&amp;sid=38adc4f08307de6028215e1979e4975a&amp;sot=anl&amp;sdt=aut&amp;sl=49&amp;s=AU-ID%28%22Mihaylova-Goleminova%2C+Savina%22+58983015100%29&amp;txGid=170904c5eac818bce1788a3779ac3249&amp;sessionSearchId=38adc4f08307de6028215e1979e4975a&amp;limit=10" TargetMode="External"/><Relationship Id="rId71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as_danail_gushev" TargetMode="External"/><Relationship Id="rId92" Type="http://schemas.openxmlformats.org/officeDocument/2006/relationships/hyperlink" Target="https://ras.nacid.bg/dissertation-preview/49158" TargetMode="External"/><Relationship Id="rId213" Type="http://schemas.openxmlformats.org/officeDocument/2006/relationships/hyperlink" Target="https://www.uni-sofia.bg/index.php/bul/universitet_t/fakulteti/stopanski_fakultet/katedri_i_akademichen_s_stav/katedri/izsledovateli_r4_r3_r2_r1/d_r_radostina_angelova_r2" TargetMode="External"/><Relationship Id="rId2" Type="http://schemas.openxmlformats.org/officeDocument/2006/relationships/hyperlink" Target="https://www.uni-sofia.bg/index.php/bul/universitet_t/fakulteti/stopanski_fakultet/katedri_i_akademichen_s_stav/katedri/ikonomika/prepodavateli_katedra_ikonomika/prof_d_r_teodor_sedlarski" TargetMode="External"/><Relationship Id="rId29" Type="http://schemas.openxmlformats.org/officeDocument/2006/relationships/hyperlink" Target="https://www.uni-sofia.bg/index.php/bul/content/download/297404/1935042/version/1/file/IL_CV_BG.pdf" TargetMode="External"/><Relationship Id="rId40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ivanka_mihajlova" TargetMode="External"/><Relationship Id="rId115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desislava_kalcheva" TargetMode="External"/><Relationship Id="rId136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prof_d_r_deyan_radev" TargetMode="External"/><Relationship Id="rId157" Type="http://schemas.openxmlformats.org/officeDocument/2006/relationships/hyperlink" Target="https://ras.nacid.bg/dissertation-preview/3870" TargetMode="External"/><Relationship Id="rId178" Type="http://schemas.openxmlformats.org/officeDocument/2006/relationships/hyperlink" Target="https://ras.nacid.bg/dissertation-preview/74744" TargetMode="External"/><Relationship Id="rId61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prof_d_r_nadya_velinova_sokolova" TargetMode="External"/><Relationship Id="rId82" Type="http://schemas.openxmlformats.org/officeDocument/2006/relationships/hyperlink" Target="https://ras.nacid.bg/dissertation-preview/47632" TargetMode="External"/><Relationship Id="rId199" Type="http://schemas.openxmlformats.org/officeDocument/2006/relationships/hyperlink" Target="https://www.scopus.com/authid/detail.uri?authorId=57996430300&amp;origin=resultslist" TargetMode="External"/><Relationship Id="rId203" Type="http://schemas.openxmlformats.org/officeDocument/2006/relationships/hyperlink" Target="https://ras.nacid.bg/dissertation-preview/48034" TargetMode="External"/><Relationship Id="rId19" Type="http://schemas.openxmlformats.org/officeDocument/2006/relationships/hyperlink" Target="https://www.uni-sofia.bg/index.php/bul/content/download/262963/1727823/version/1/file/CV-MB-bg+%281%29.pdf" TargetMode="External"/><Relationship Id="rId224" Type="http://schemas.openxmlformats.org/officeDocument/2006/relationships/table" Target="../tables/table1.xml"/><Relationship Id="rId30" Type="http://schemas.openxmlformats.org/officeDocument/2006/relationships/hyperlink" Target="https://www.uni-sofia.bg/index.php/bul/content/download/279136/1824366/version/1/file/CV_Lidiya+Kabatliyska_BG.pdf" TargetMode="External"/><Relationship Id="rId105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marina_stefanova_r_kovoditel_katedra" TargetMode="External"/><Relationship Id="rId126" Type="http://schemas.openxmlformats.org/officeDocument/2006/relationships/hyperlink" Target="https://ras.nacid.bg/dissertation-preview/44792" TargetMode="External"/><Relationship Id="rId147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gl_as_d_r_teodora_v_rbanova" TargetMode="External"/><Relationship Id="rId168" Type="http://schemas.openxmlformats.org/officeDocument/2006/relationships/hyperlink" Target="https://ras.nacid.bg/dissertation-preview/46598" TargetMode="External"/><Relationship Id="rId51" Type="http://schemas.openxmlformats.org/officeDocument/2006/relationships/hyperlink" Target="https://www.uni-sofia.bg/index.php/bul/content/download/56798/466586/version/2/file/CV-NevyanaKrusteva2011.pdf" TargetMode="External"/><Relationship Id="rId72" Type="http://schemas.openxmlformats.org/officeDocument/2006/relationships/hyperlink" Target="https://ras.nacid.bg/dissertation-preview/23280" TargetMode="External"/><Relationship Id="rId93" Type="http://schemas.openxmlformats.org/officeDocument/2006/relationships/hyperlink" Target="https://ras.nacid.bg/dissertation-preview/28176" TargetMode="External"/><Relationship Id="rId189" Type="http://schemas.openxmlformats.org/officeDocument/2006/relationships/hyperlink" Target="https://www.scopus.com/authid/detail.uri?authorId=60076255400&amp;origin=resultslis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ni-sofia.bg/index.php/bul/universitet_t/fakulteti/stopanski_fakultet/katedri_i_akademichen_s_stav/katedri/ikonomika/prepodavateli_katedra_ikonomika/gl_as_d_r_iliya_atanasov" TargetMode="External"/><Relationship Id="rId3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doc_d_r_marselen_jovogan" TargetMode="External"/><Relationship Id="rId7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marina_stefanova_r_kovoditel_katedra" TargetMode="External"/><Relationship Id="rId2" Type="http://schemas.openxmlformats.org/officeDocument/2006/relationships/hyperlink" Target="https://www.uni-sofia.bg/index.php/bul/universitet_t/fakulteti/stopanski_fakultet/katedri_i_akademichen_s_stav/katedri/ikonomika/prepodavateli_katedra_ikonomika/doc_d_r_dimit_r_zlatinov_r_kovoditel_katedra" TargetMode="External"/><Relationship Id="rId1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atanas_georgiev_dekan" TargetMode="External"/><Relationship Id="rId6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ivan_angelov" TargetMode="External"/><Relationship Id="rId5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nikolaj_netov_r_kovoditel_katedra" TargetMode="External"/><Relationship Id="rId4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todor_yal_mov" TargetMode="External"/><Relationship Id="rId9" Type="http://schemas.openxmlformats.org/officeDocument/2006/relationships/hyperlink" Target="https://ras.nacid.bg/dissertation-preview/4316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2473-93DE-4068-B694-36BFB33E2DD5}">
  <sheetPr>
    <tabColor rgb="FFFF0000"/>
  </sheetPr>
  <dimension ref="A1:Z643"/>
  <sheetViews>
    <sheetView tabSelected="1" zoomScale="80" zoomScaleNormal="80" workbookViewId="0">
      <pane ySplit="1" topLeftCell="A34" activePane="bottomLeft" state="frozen"/>
      <selection pane="bottomLeft" activeCell="L1" activeCellId="6" sqref="A1:A1048576 C1:C1048576 F1:F1048576 G1:G1048576 I1:I1048576 K1:K1048576 L1:L1048576"/>
    </sheetView>
  </sheetViews>
  <sheetFormatPr defaultRowHeight="15.6" x14ac:dyDescent="0.3"/>
  <cols>
    <col min="1" max="1" width="22.33203125" style="25" customWidth="1"/>
    <col min="2" max="2" width="8.88671875" customWidth="1"/>
    <col min="3" max="3" width="8.88671875" style="26" customWidth="1"/>
    <col min="4" max="4" width="9.77734375" customWidth="1"/>
    <col min="5" max="5" width="10.21875" customWidth="1"/>
    <col min="6" max="6" width="14.109375" style="22" customWidth="1"/>
    <col min="7" max="7" width="15.109375" style="22" customWidth="1"/>
    <col min="8" max="8" width="13.33203125" customWidth="1"/>
    <col min="9" max="9" width="17" customWidth="1"/>
    <col min="10" max="10" width="9.33203125" customWidth="1"/>
    <col min="11" max="11" width="22.5546875" style="20" customWidth="1"/>
    <col min="12" max="12" width="21.33203125" style="20" customWidth="1"/>
    <col min="13" max="13" width="19.109375" style="28" customWidth="1"/>
    <col min="14" max="14" width="19" style="28" customWidth="1"/>
    <col min="15" max="15" width="6.88671875" customWidth="1"/>
    <col min="16" max="16" width="10.44140625" customWidth="1"/>
    <col min="17" max="17" width="24.77734375" customWidth="1"/>
    <col min="18" max="18" width="12.21875" style="14" customWidth="1"/>
    <col min="19" max="19" width="12" style="14" customWidth="1"/>
    <col min="20" max="20" width="26.5546875" style="64" customWidth="1"/>
    <col min="21" max="21" width="21.109375" style="64" customWidth="1"/>
    <col min="22" max="22" width="30.88671875" style="64" customWidth="1"/>
    <col min="23" max="23" width="13.33203125" style="28" customWidth="1"/>
    <col min="24" max="24" width="9.44140625" customWidth="1"/>
    <col min="25" max="25" width="15.88671875" customWidth="1"/>
    <col min="26" max="26" width="5.33203125" hidden="1" customWidth="1"/>
  </cols>
  <sheetData>
    <row r="1" spans="1:26" s="58" customFormat="1" ht="46.8" customHeight="1" x14ac:dyDescent="0.3">
      <c r="A1" s="80" t="s">
        <v>38</v>
      </c>
      <c r="B1" s="93" t="s">
        <v>0</v>
      </c>
      <c r="C1" s="93" t="s">
        <v>388</v>
      </c>
      <c r="D1" s="93" t="s">
        <v>390</v>
      </c>
      <c r="E1" s="81" t="s">
        <v>2</v>
      </c>
      <c r="F1" s="82" t="s">
        <v>166</v>
      </c>
      <c r="G1" s="82" t="s">
        <v>389</v>
      </c>
      <c r="H1" s="81" t="s">
        <v>39</v>
      </c>
      <c r="I1" s="81" t="s">
        <v>41</v>
      </c>
      <c r="J1" s="81" t="s">
        <v>482</v>
      </c>
      <c r="K1" s="83" t="s">
        <v>276</v>
      </c>
      <c r="L1" s="83" t="s">
        <v>405</v>
      </c>
      <c r="M1" s="81" t="s">
        <v>42</v>
      </c>
      <c r="N1" s="81" t="s">
        <v>46</v>
      </c>
      <c r="O1" s="81" t="s">
        <v>203</v>
      </c>
      <c r="P1" s="81" t="s">
        <v>277</v>
      </c>
      <c r="Q1" s="81" t="s">
        <v>433</v>
      </c>
      <c r="R1" s="81" t="s">
        <v>386</v>
      </c>
      <c r="S1" s="81" t="s">
        <v>387</v>
      </c>
      <c r="T1" s="84" t="s">
        <v>393</v>
      </c>
      <c r="U1" s="84" t="s">
        <v>392</v>
      </c>
      <c r="V1" s="84" t="s">
        <v>394</v>
      </c>
      <c r="W1" s="85" t="s">
        <v>484</v>
      </c>
      <c r="Z1" s="58" t="s">
        <v>43</v>
      </c>
    </row>
    <row r="2" spans="1:26" s="14" customFormat="1" ht="33.6" customHeight="1" x14ac:dyDescent="0.3">
      <c r="A2" s="74" t="s">
        <v>234</v>
      </c>
      <c r="B2" s="40" t="s">
        <v>1</v>
      </c>
      <c r="C2" s="40" t="s">
        <v>175</v>
      </c>
      <c r="D2" s="40" t="s">
        <v>391</v>
      </c>
      <c r="E2" s="36" t="s">
        <v>3</v>
      </c>
      <c r="F2" s="41" t="s">
        <v>167</v>
      </c>
      <c r="G2" s="41" t="s">
        <v>168</v>
      </c>
      <c r="H2" s="36" t="s">
        <v>40</v>
      </c>
      <c r="I2" s="36" t="s">
        <v>43</v>
      </c>
      <c r="J2" s="36">
        <v>1</v>
      </c>
      <c r="K2" s="70">
        <v>42348</v>
      </c>
      <c r="L2" s="70">
        <v>42188</v>
      </c>
      <c r="M2" s="42" t="s">
        <v>43</v>
      </c>
      <c r="N2" s="42" t="s">
        <v>44</v>
      </c>
      <c r="O2" s="42">
        <f>IF(I2="YES",1,0)</f>
        <v>1</v>
      </c>
      <c r="P2" s="42">
        <v>1</v>
      </c>
      <c r="Q2" s="42">
        <f>K2-L2</f>
        <v>160</v>
      </c>
      <c r="R2" s="42">
        <v>0</v>
      </c>
      <c r="S2" s="42">
        <v>17</v>
      </c>
      <c r="T2" s="100">
        <v>0</v>
      </c>
      <c r="U2" s="100">
        <v>0.625</v>
      </c>
      <c r="V2" s="100">
        <v>0.188</v>
      </c>
      <c r="W2" s="79">
        <f>IF(S2&gt;0,1-(T2+U2+V2),0)</f>
        <v>0.18700000000000006</v>
      </c>
      <c r="Z2" s="14" t="s">
        <v>44</v>
      </c>
    </row>
    <row r="3" spans="1:26" ht="25.2" customHeight="1" x14ac:dyDescent="0.3">
      <c r="A3" s="73" t="s">
        <v>5</v>
      </c>
      <c r="B3" s="33" t="s">
        <v>4</v>
      </c>
      <c r="C3" s="33" t="s">
        <v>170</v>
      </c>
      <c r="D3" s="33" t="s">
        <v>395</v>
      </c>
      <c r="E3" s="34" t="s">
        <v>6</v>
      </c>
      <c r="F3" s="35" t="s">
        <v>169</v>
      </c>
      <c r="G3" s="35" t="s">
        <v>172</v>
      </c>
      <c r="H3" s="34" t="s">
        <v>40</v>
      </c>
      <c r="I3" s="34" t="s">
        <v>43</v>
      </c>
      <c r="J3" s="34">
        <v>1</v>
      </c>
      <c r="K3" s="37">
        <v>40294</v>
      </c>
      <c r="L3" s="37">
        <v>38701</v>
      </c>
      <c r="M3" s="38" t="s">
        <v>43</v>
      </c>
      <c r="N3" s="38" t="s">
        <v>44</v>
      </c>
      <c r="O3" s="38">
        <f>IF(I3="YES",1,0)</f>
        <v>1</v>
      </c>
      <c r="P3" s="38">
        <f>IF(I3="YES",IF(L3-K3&lt;365,1,0),0)</f>
        <v>1</v>
      </c>
      <c r="Q3" s="38">
        <f>K3-L3</f>
        <v>1593</v>
      </c>
      <c r="R3" s="42">
        <v>0</v>
      </c>
      <c r="S3" s="42">
        <v>4</v>
      </c>
      <c r="T3" s="63">
        <v>1</v>
      </c>
      <c r="U3" s="63">
        <v>0</v>
      </c>
      <c r="V3" s="63">
        <v>0</v>
      </c>
      <c r="W3" s="77">
        <f t="shared" ref="W3:W66" si="0">IF(S3&gt;0,1-(T3+U3+V3),0)</f>
        <v>0</v>
      </c>
      <c r="Z3" t="s">
        <v>45</v>
      </c>
    </row>
    <row r="4" spans="1:26" ht="24.6" customHeight="1" x14ac:dyDescent="0.3">
      <c r="A4" s="73" t="s">
        <v>7</v>
      </c>
      <c r="B4" s="33" t="s">
        <v>8</v>
      </c>
      <c r="C4" s="33" t="s">
        <v>171</v>
      </c>
      <c r="D4" s="33" t="s">
        <v>396</v>
      </c>
      <c r="E4" s="34" t="s">
        <v>6</v>
      </c>
      <c r="F4" s="35" t="s">
        <v>485</v>
      </c>
      <c r="G4" s="35" t="s">
        <v>486</v>
      </c>
      <c r="H4" s="34" t="s">
        <v>40</v>
      </c>
      <c r="I4" s="34" t="s">
        <v>44</v>
      </c>
      <c r="J4" s="34">
        <v>0</v>
      </c>
      <c r="K4" s="37">
        <v>35576</v>
      </c>
      <c r="L4" s="37">
        <v>44845</v>
      </c>
      <c r="M4" s="38" t="s">
        <v>43</v>
      </c>
      <c r="N4" s="38" t="s">
        <v>44</v>
      </c>
      <c r="O4" s="38">
        <f t="shared" ref="O4:O50" si="1">IF(I4="YES",1,0)</f>
        <v>0</v>
      </c>
      <c r="P4" s="38">
        <f t="shared" ref="P4:P50" si="2">IF(I4="YES",IF(L4-K4&lt;365,1,0),0)</f>
        <v>0</v>
      </c>
      <c r="Q4" s="38">
        <f t="shared" ref="Q4:Q67" si="3">K4-L4</f>
        <v>-9269</v>
      </c>
      <c r="R4" s="42">
        <v>0</v>
      </c>
      <c r="S4" s="42">
        <v>7</v>
      </c>
      <c r="T4" s="63">
        <v>0</v>
      </c>
      <c r="U4" s="63">
        <v>0.16700000000000001</v>
      </c>
      <c r="V4" s="63">
        <v>0.66700000000000004</v>
      </c>
      <c r="W4" s="77">
        <f t="shared" si="0"/>
        <v>0.16599999999999993</v>
      </c>
      <c r="Z4" t="s">
        <v>196</v>
      </c>
    </row>
    <row r="5" spans="1:26" ht="36" customHeight="1" x14ac:dyDescent="0.3">
      <c r="A5" s="73" t="s">
        <v>10</v>
      </c>
      <c r="B5" s="33" t="s">
        <v>9</v>
      </c>
      <c r="C5" s="33" t="s">
        <v>173</v>
      </c>
      <c r="D5" s="33" t="s">
        <v>397</v>
      </c>
      <c r="E5" s="34" t="s">
        <v>3</v>
      </c>
      <c r="F5" s="35" t="s">
        <v>190</v>
      </c>
      <c r="G5" s="35" t="s">
        <v>174</v>
      </c>
      <c r="H5" s="34" t="s">
        <v>40</v>
      </c>
      <c r="I5" s="34" t="s">
        <v>43</v>
      </c>
      <c r="J5" s="34">
        <v>1</v>
      </c>
      <c r="K5" s="37">
        <v>42429</v>
      </c>
      <c r="L5" s="37">
        <v>42257</v>
      </c>
      <c r="M5" s="38" t="s">
        <v>44</v>
      </c>
      <c r="N5" s="38" t="s">
        <v>44</v>
      </c>
      <c r="O5" s="38">
        <f t="shared" si="1"/>
        <v>1</v>
      </c>
      <c r="P5" s="38">
        <f t="shared" si="2"/>
        <v>1</v>
      </c>
      <c r="Q5" s="38">
        <f t="shared" si="3"/>
        <v>172</v>
      </c>
      <c r="R5" s="42">
        <v>0</v>
      </c>
      <c r="S5" s="42">
        <v>1</v>
      </c>
      <c r="T5" s="63">
        <v>0</v>
      </c>
      <c r="U5" s="63">
        <v>1</v>
      </c>
      <c r="V5" s="63">
        <v>0</v>
      </c>
      <c r="W5" s="77">
        <f t="shared" si="0"/>
        <v>0</v>
      </c>
    </row>
    <row r="6" spans="1:26" s="109" customFormat="1" ht="33.6" customHeight="1" x14ac:dyDescent="0.3">
      <c r="A6" s="101" t="s">
        <v>12</v>
      </c>
      <c r="B6" s="102" t="s">
        <v>11</v>
      </c>
      <c r="C6" s="102" t="s">
        <v>176</v>
      </c>
      <c r="D6" s="102" t="s">
        <v>398</v>
      </c>
      <c r="E6" s="103" t="s">
        <v>13</v>
      </c>
      <c r="F6" s="104" t="s">
        <v>487</v>
      </c>
      <c r="G6" s="104" t="s">
        <v>488</v>
      </c>
      <c r="H6" s="103" t="s">
        <v>40</v>
      </c>
      <c r="I6" s="103" t="s">
        <v>44</v>
      </c>
      <c r="J6" s="103">
        <v>0</v>
      </c>
      <c r="K6" s="105">
        <v>33428</v>
      </c>
      <c r="L6" s="105">
        <v>36145</v>
      </c>
      <c r="M6" s="106" t="s">
        <v>43</v>
      </c>
      <c r="N6" s="106" t="s">
        <v>44</v>
      </c>
      <c r="O6" s="106">
        <f t="shared" si="1"/>
        <v>0</v>
      </c>
      <c r="P6" s="106">
        <f t="shared" si="2"/>
        <v>0</v>
      </c>
      <c r="Q6" s="106">
        <f t="shared" si="3"/>
        <v>-2717</v>
      </c>
      <c r="R6" s="106">
        <v>0</v>
      </c>
      <c r="S6" s="106">
        <v>12</v>
      </c>
      <c r="T6" s="107">
        <v>8.3000000000000004E-2</v>
      </c>
      <c r="U6" s="107">
        <v>0.25</v>
      </c>
      <c r="V6" s="107">
        <v>0.41699999999999998</v>
      </c>
      <c r="W6" s="108">
        <f t="shared" si="0"/>
        <v>0.25</v>
      </c>
    </row>
    <row r="7" spans="1:26" ht="33.6" customHeight="1" x14ac:dyDescent="0.3">
      <c r="A7" s="75" t="s">
        <v>17</v>
      </c>
      <c r="B7" s="33" t="s">
        <v>16</v>
      </c>
      <c r="C7" s="33" t="s">
        <v>177</v>
      </c>
      <c r="D7" s="33" t="s">
        <v>399</v>
      </c>
      <c r="E7" s="34" t="s">
        <v>13</v>
      </c>
      <c r="F7" s="35" t="s">
        <v>178</v>
      </c>
      <c r="G7" s="35" t="s">
        <v>172</v>
      </c>
      <c r="H7" s="34" t="s">
        <v>40</v>
      </c>
      <c r="I7" s="34" t="s">
        <v>44</v>
      </c>
      <c r="J7" s="36">
        <v>0</v>
      </c>
      <c r="K7" s="37">
        <v>38404</v>
      </c>
      <c r="L7" s="37">
        <v>44375</v>
      </c>
      <c r="M7" s="38" t="s">
        <v>43</v>
      </c>
      <c r="N7" s="38" t="s">
        <v>43</v>
      </c>
      <c r="O7" s="38">
        <f t="shared" si="1"/>
        <v>0</v>
      </c>
      <c r="P7" s="38">
        <f t="shared" si="2"/>
        <v>0</v>
      </c>
      <c r="Q7" s="38">
        <f t="shared" si="3"/>
        <v>-5971</v>
      </c>
      <c r="R7" s="42">
        <v>0</v>
      </c>
      <c r="S7" s="42">
        <v>5</v>
      </c>
      <c r="T7" s="63">
        <v>0</v>
      </c>
      <c r="U7" s="63">
        <v>0</v>
      </c>
      <c r="V7" s="63">
        <v>0.75</v>
      </c>
      <c r="W7" s="77">
        <f t="shared" si="0"/>
        <v>0.25</v>
      </c>
    </row>
    <row r="8" spans="1:26" ht="36" customHeight="1" x14ac:dyDescent="0.3">
      <c r="A8" s="73" t="s">
        <v>15</v>
      </c>
      <c r="B8" s="33" t="s">
        <v>14</v>
      </c>
      <c r="C8" s="33" t="s">
        <v>179</v>
      </c>
      <c r="D8" s="33"/>
      <c r="E8" s="34" t="s">
        <v>13</v>
      </c>
      <c r="F8" s="35" t="s">
        <v>180</v>
      </c>
      <c r="G8" s="35" t="s">
        <v>181</v>
      </c>
      <c r="H8" s="34" t="s">
        <v>40</v>
      </c>
      <c r="I8" s="34" t="s">
        <v>43</v>
      </c>
      <c r="J8" s="34">
        <v>1</v>
      </c>
      <c r="K8" s="37">
        <v>43291</v>
      </c>
      <c r="L8" s="37">
        <v>43777</v>
      </c>
      <c r="M8" s="38" t="s">
        <v>44</v>
      </c>
      <c r="N8" s="38" t="s">
        <v>44</v>
      </c>
      <c r="O8" s="38">
        <f t="shared" si="1"/>
        <v>1</v>
      </c>
      <c r="P8" s="38">
        <f t="shared" si="2"/>
        <v>0</v>
      </c>
      <c r="Q8" s="38">
        <f>K8-L8</f>
        <v>-486</v>
      </c>
      <c r="R8" s="42">
        <v>0</v>
      </c>
      <c r="S8" s="42">
        <v>0</v>
      </c>
      <c r="T8" s="63">
        <v>0</v>
      </c>
      <c r="U8" s="63">
        <v>0</v>
      </c>
      <c r="V8" s="63">
        <v>0</v>
      </c>
      <c r="W8" s="77">
        <f t="shared" si="0"/>
        <v>0</v>
      </c>
    </row>
    <row r="9" spans="1:26" ht="19.2" customHeight="1" x14ac:dyDescent="0.3">
      <c r="A9" s="73" t="s">
        <v>19</v>
      </c>
      <c r="B9" s="33" t="s">
        <v>18</v>
      </c>
      <c r="C9" s="33" t="s">
        <v>182</v>
      </c>
      <c r="D9" s="33" t="s">
        <v>400</v>
      </c>
      <c r="E9" s="34" t="s">
        <v>20</v>
      </c>
      <c r="F9" s="35" t="s">
        <v>183</v>
      </c>
      <c r="G9" s="35" t="s">
        <v>183</v>
      </c>
      <c r="H9" s="34" t="s">
        <v>40</v>
      </c>
      <c r="I9" s="34" t="s">
        <v>44</v>
      </c>
      <c r="J9" s="34">
        <v>1</v>
      </c>
      <c r="K9" s="37">
        <v>43668</v>
      </c>
      <c r="L9" s="37">
        <v>44522</v>
      </c>
      <c r="M9" s="38" t="s">
        <v>43</v>
      </c>
      <c r="N9" s="38" t="s">
        <v>43</v>
      </c>
      <c r="O9" s="38">
        <f t="shared" si="1"/>
        <v>0</v>
      </c>
      <c r="P9" s="38">
        <f t="shared" si="2"/>
        <v>0</v>
      </c>
      <c r="Q9" s="38">
        <f>365*3</f>
        <v>1095</v>
      </c>
      <c r="R9" s="42">
        <v>0</v>
      </c>
      <c r="S9" s="42">
        <v>1</v>
      </c>
      <c r="T9" s="63">
        <v>0</v>
      </c>
      <c r="U9" s="63">
        <v>0</v>
      </c>
      <c r="V9" s="63">
        <v>0</v>
      </c>
      <c r="W9" s="77">
        <f t="shared" si="0"/>
        <v>1</v>
      </c>
    </row>
    <row r="10" spans="1:26" ht="30.6" customHeight="1" x14ac:dyDescent="0.3">
      <c r="A10" s="73" t="s">
        <v>22</v>
      </c>
      <c r="B10" s="33" t="s">
        <v>21</v>
      </c>
      <c r="C10" s="33" t="s">
        <v>186</v>
      </c>
      <c r="D10" s="33" t="s">
        <v>401</v>
      </c>
      <c r="E10" s="34" t="s">
        <v>20</v>
      </c>
      <c r="F10" s="35" t="s">
        <v>184</v>
      </c>
      <c r="G10" s="35" t="s">
        <v>185</v>
      </c>
      <c r="H10" s="34" t="s">
        <v>40</v>
      </c>
      <c r="I10" s="34" t="s">
        <v>43</v>
      </c>
      <c r="J10" s="34">
        <v>1</v>
      </c>
      <c r="K10" s="37">
        <v>44187</v>
      </c>
      <c r="L10" s="37">
        <v>43222</v>
      </c>
      <c r="M10" s="38" t="s">
        <v>44</v>
      </c>
      <c r="N10" s="38" t="s">
        <v>44</v>
      </c>
      <c r="O10" s="38">
        <f t="shared" si="1"/>
        <v>1</v>
      </c>
      <c r="P10" s="38">
        <f t="shared" si="2"/>
        <v>1</v>
      </c>
      <c r="Q10" s="38">
        <f t="shared" si="3"/>
        <v>965</v>
      </c>
      <c r="R10" s="42">
        <v>0</v>
      </c>
      <c r="S10" s="42">
        <v>8</v>
      </c>
      <c r="T10" s="63">
        <v>0</v>
      </c>
      <c r="U10" s="63">
        <v>0.42899999999999999</v>
      </c>
      <c r="V10" s="63">
        <v>0.42899999999999999</v>
      </c>
      <c r="W10" s="77">
        <f t="shared" si="0"/>
        <v>0.14200000000000002</v>
      </c>
    </row>
    <row r="11" spans="1:26" ht="31.2" customHeight="1" x14ac:dyDescent="0.3">
      <c r="A11" s="73" t="s">
        <v>24</v>
      </c>
      <c r="B11" s="33" t="s">
        <v>23</v>
      </c>
      <c r="C11" s="33" t="s">
        <v>188</v>
      </c>
      <c r="D11" s="33" t="s">
        <v>402</v>
      </c>
      <c r="E11" s="34" t="s">
        <v>20</v>
      </c>
      <c r="F11" s="35" t="s">
        <v>187</v>
      </c>
      <c r="G11" s="35" t="s">
        <v>187</v>
      </c>
      <c r="H11" s="34" t="s">
        <v>40</v>
      </c>
      <c r="I11" s="34" t="s">
        <v>44</v>
      </c>
      <c r="J11" s="34">
        <v>0</v>
      </c>
      <c r="K11" s="37">
        <v>42877</v>
      </c>
      <c r="L11" s="37">
        <v>45208</v>
      </c>
      <c r="M11" s="38" t="s">
        <v>43</v>
      </c>
      <c r="N11" s="38" t="s">
        <v>43</v>
      </c>
      <c r="O11" s="38">
        <f t="shared" si="1"/>
        <v>0</v>
      </c>
      <c r="P11" s="38">
        <f t="shared" si="2"/>
        <v>0</v>
      </c>
      <c r="Q11" s="38">
        <f t="shared" si="3"/>
        <v>-2331</v>
      </c>
      <c r="R11" s="42">
        <v>0</v>
      </c>
      <c r="S11" s="42">
        <v>6</v>
      </c>
      <c r="T11" s="63">
        <v>0</v>
      </c>
      <c r="U11" s="63">
        <v>0</v>
      </c>
      <c r="V11" s="63">
        <v>0.2</v>
      </c>
      <c r="W11" s="77">
        <f t="shared" si="0"/>
        <v>0.8</v>
      </c>
    </row>
    <row r="12" spans="1:26" ht="37.200000000000003" customHeight="1" x14ac:dyDescent="0.3">
      <c r="A12" s="73" t="s">
        <v>26</v>
      </c>
      <c r="B12" s="33" t="s">
        <v>25</v>
      </c>
      <c r="C12" s="33" t="s">
        <v>191</v>
      </c>
      <c r="D12" s="33"/>
      <c r="E12" s="34" t="s">
        <v>20</v>
      </c>
      <c r="F12" s="35" t="s">
        <v>189</v>
      </c>
      <c r="G12" s="35" t="s">
        <v>190</v>
      </c>
      <c r="H12" s="34" t="s">
        <v>40</v>
      </c>
      <c r="I12" s="34" t="s">
        <v>43</v>
      </c>
      <c r="J12" s="34">
        <v>1</v>
      </c>
      <c r="K12" s="37">
        <v>43039</v>
      </c>
      <c r="L12" s="37">
        <v>40339</v>
      </c>
      <c r="M12" s="38" t="s">
        <v>43</v>
      </c>
      <c r="N12" s="38" t="s">
        <v>44</v>
      </c>
      <c r="O12" s="38">
        <f t="shared" si="1"/>
        <v>1</v>
      </c>
      <c r="P12" s="38">
        <f t="shared" si="2"/>
        <v>1</v>
      </c>
      <c r="Q12" s="38">
        <f t="shared" si="3"/>
        <v>2700</v>
      </c>
      <c r="R12" s="42">
        <v>0</v>
      </c>
      <c r="S12" s="42">
        <v>0</v>
      </c>
      <c r="T12" s="63">
        <v>0</v>
      </c>
      <c r="U12" s="63">
        <v>0</v>
      </c>
      <c r="V12" s="63">
        <v>0</v>
      </c>
      <c r="W12" s="77">
        <f t="shared" si="0"/>
        <v>0</v>
      </c>
    </row>
    <row r="13" spans="1:26" ht="21.6" customHeight="1" x14ac:dyDescent="0.3">
      <c r="A13" s="73" t="s">
        <v>28</v>
      </c>
      <c r="B13" s="33" t="s">
        <v>27</v>
      </c>
      <c r="C13" s="33" t="s">
        <v>192</v>
      </c>
      <c r="D13" s="33" t="s">
        <v>403</v>
      </c>
      <c r="E13" s="34" t="s">
        <v>20</v>
      </c>
      <c r="F13" s="35" t="s">
        <v>193</v>
      </c>
      <c r="G13" s="35" t="s">
        <v>194</v>
      </c>
      <c r="H13" s="34" t="s">
        <v>40</v>
      </c>
      <c r="I13" s="34" t="s">
        <v>44</v>
      </c>
      <c r="J13" s="34">
        <v>1</v>
      </c>
      <c r="K13" s="37">
        <v>43017</v>
      </c>
      <c r="L13" s="37">
        <v>43780</v>
      </c>
      <c r="M13" s="38" t="s">
        <v>43</v>
      </c>
      <c r="N13" s="38" t="s">
        <v>43</v>
      </c>
      <c r="O13" s="38">
        <f t="shared" si="1"/>
        <v>0</v>
      </c>
      <c r="P13" s="38">
        <f t="shared" si="2"/>
        <v>0</v>
      </c>
      <c r="Q13" s="38">
        <f t="shared" si="3"/>
        <v>-763</v>
      </c>
      <c r="R13" s="42">
        <v>0</v>
      </c>
      <c r="S13" s="42">
        <v>4</v>
      </c>
      <c r="T13" s="63">
        <v>0</v>
      </c>
      <c r="U13" s="63">
        <v>0.33300000000000002</v>
      </c>
      <c r="V13" s="63">
        <v>0.33300000000000002</v>
      </c>
      <c r="W13" s="77">
        <f t="shared" si="0"/>
        <v>0.33399999999999996</v>
      </c>
    </row>
    <row r="14" spans="1:26" ht="35.4" customHeight="1" x14ac:dyDescent="0.3">
      <c r="A14" s="73" t="s">
        <v>30</v>
      </c>
      <c r="B14" s="33" t="s">
        <v>29</v>
      </c>
      <c r="C14" s="40" t="s">
        <v>407</v>
      </c>
      <c r="D14" s="33" t="s">
        <v>404</v>
      </c>
      <c r="E14" s="34" t="s">
        <v>31</v>
      </c>
      <c r="F14" s="35" t="s">
        <v>190</v>
      </c>
      <c r="G14" s="35" t="s">
        <v>195</v>
      </c>
      <c r="H14" s="34" t="s">
        <v>40</v>
      </c>
      <c r="I14" s="34" t="s">
        <v>43</v>
      </c>
      <c r="J14" s="34">
        <v>0</v>
      </c>
      <c r="K14" s="37">
        <v>45915</v>
      </c>
      <c r="L14" s="37">
        <v>45201</v>
      </c>
      <c r="M14" s="38" t="s">
        <v>44</v>
      </c>
      <c r="N14" s="38" t="s">
        <v>44</v>
      </c>
      <c r="O14" s="38">
        <f t="shared" si="1"/>
        <v>1</v>
      </c>
      <c r="P14" s="38">
        <f t="shared" si="2"/>
        <v>1</v>
      </c>
      <c r="Q14" s="38">
        <f t="shared" si="3"/>
        <v>714</v>
      </c>
      <c r="R14" s="42">
        <v>0</v>
      </c>
      <c r="S14" s="42">
        <v>3</v>
      </c>
      <c r="T14" s="63">
        <v>0</v>
      </c>
      <c r="U14" s="63">
        <v>0.66700000000000004</v>
      </c>
      <c r="V14" s="63">
        <v>0</v>
      </c>
      <c r="W14" s="77">
        <f t="shared" si="0"/>
        <v>0.33299999999999996</v>
      </c>
    </row>
    <row r="15" spans="1:26" ht="24" customHeight="1" x14ac:dyDescent="0.3">
      <c r="A15" s="74" t="s">
        <v>33</v>
      </c>
      <c r="B15" s="43" t="s">
        <v>32</v>
      </c>
      <c r="C15" s="40" t="s">
        <v>410</v>
      </c>
      <c r="D15" s="43" t="s">
        <v>32</v>
      </c>
      <c r="E15" s="36" t="s">
        <v>31</v>
      </c>
      <c r="F15" s="41" t="s">
        <v>185</v>
      </c>
      <c r="G15" s="41" t="s">
        <v>196</v>
      </c>
      <c r="H15" s="36" t="s">
        <v>40</v>
      </c>
      <c r="I15" s="36" t="s">
        <v>43</v>
      </c>
      <c r="J15" s="36">
        <v>0</v>
      </c>
      <c r="K15" s="37">
        <f>L15+365*5</f>
        <v>47763</v>
      </c>
      <c r="L15" s="37">
        <v>45938</v>
      </c>
      <c r="M15" s="42" t="s">
        <v>45</v>
      </c>
      <c r="N15" s="42" t="s">
        <v>45</v>
      </c>
      <c r="O15" s="38">
        <f t="shared" si="1"/>
        <v>1</v>
      </c>
      <c r="P15" s="38">
        <f t="shared" si="2"/>
        <v>1</v>
      </c>
      <c r="Q15" s="38">
        <f t="shared" si="3"/>
        <v>1825</v>
      </c>
      <c r="R15" s="42">
        <v>0</v>
      </c>
      <c r="S15" s="42">
        <v>0</v>
      </c>
      <c r="T15" s="63">
        <v>0</v>
      </c>
      <c r="U15" s="63">
        <v>0</v>
      </c>
      <c r="V15" s="63">
        <v>0</v>
      </c>
      <c r="W15" s="77">
        <f t="shared" si="0"/>
        <v>0</v>
      </c>
    </row>
    <row r="16" spans="1:26" ht="16.8" customHeight="1" x14ac:dyDescent="0.3">
      <c r="A16" s="74" t="s">
        <v>35</v>
      </c>
      <c r="B16" s="40" t="s">
        <v>34</v>
      </c>
      <c r="C16" s="40" t="s">
        <v>411</v>
      </c>
      <c r="D16" s="43" t="s">
        <v>32</v>
      </c>
      <c r="E16" s="36" t="s">
        <v>31</v>
      </c>
      <c r="F16" s="41" t="s">
        <v>195</v>
      </c>
      <c r="G16" s="41" t="s">
        <v>196</v>
      </c>
      <c r="H16" s="36" t="s">
        <v>40</v>
      </c>
      <c r="I16" s="36" t="s">
        <v>43</v>
      </c>
      <c r="J16" s="36">
        <v>1</v>
      </c>
      <c r="K16" s="37">
        <f>L16+365*5</f>
        <v>47030</v>
      </c>
      <c r="L16" s="37">
        <v>45205</v>
      </c>
      <c r="M16" s="42" t="s">
        <v>43</v>
      </c>
      <c r="N16" s="42" t="s">
        <v>44</v>
      </c>
      <c r="O16" s="38">
        <f t="shared" si="1"/>
        <v>1</v>
      </c>
      <c r="P16" s="38">
        <f t="shared" si="2"/>
        <v>1</v>
      </c>
      <c r="Q16" s="38">
        <f t="shared" si="3"/>
        <v>1825</v>
      </c>
      <c r="R16" s="42">
        <v>0</v>
      </c>
      <c r="S16" s="42">
        <v>0</v>
      </c>
      <c r="T16" s="63">
        <v>0</v>
      </c>
      <c r="U16" s="63">
        <v>0</v>
      </c>
      <c r="V16" s="63">
        <v>0</v>
      </c>
      <c r="W16" s="77">
        <f t="shared" si="0"/>
        <v>0</v>
      </c>
    </row>
    <row r="17" spans="1:26" ht="33" customHeight="1" x14ac:dyDescent="0.3">
      <c r="A17" s="74" t="s">
        <v>37</v>
      </c>
      <c r="B17" s="40" t="s">
        <v>36</v>
      </c>
      <c r="C17" s="40" t="s">
        <v>412</v>
      </c>
      <c r="D17" s="43" t="s">
        <v>32</v>
      </c>
      <c r="E17" s="36" t="s">
        <v>31</v>
      </c>
      <c r="F17" s="41" t="s">
        <v>195</v>
      </c>
      <c r="G17" s="41" t="s">
        <v>196</v>
      </c>
      <c r="H17" s="36" t="s">
        <v>40</v>
      </c>
      <c r="I17" s="36" t="s">
        <v>43</v>
      </c>
      <c r="J17" s="36">
        <v>0</v>
      </c>
      <c r="K17" s="37">
        <f>L17+354*5</f>
        <v>46632</v>
      </c>
      <c r="L17" s="37">
        <v>44862</v>
      </c>
      <c r="M17" s="42" t="s">
        <v>44</v>
      </c>
      <c r="N17" s="42" t="s">
        <v>44</v>
      </c>
      <c r="O17" s="38">
        <f t="shared" si="1"/>
        <v>1</v>
      </c>
      <c r="P17" s="38">
        <f t="shared" si="2"/>
        <v>1</v>
      </c>
      <c r="Q17" s="38">
        <f t="shared" si="3"/>
        <v>1770</v>
      </c>
      <c r="R17" s="42">
        <v>0</v>
      </c>
      <c r="S17" s="42">
        <v>0</v>
      </c>
      <c r="T17" s="63">
        <v>0</v>
      </c>
      <c r="U17" s="63">
        <v>0</v>
      </c>
      <c r="V17" s="63">
        <v>0</v>
      </c>
      <c r="W17" s="77">
        <f t="shared" si="0"/>
        <v>0</v>
      </c>
    </row>
    <row r="18" spans="1:26" s="14" customFormat="1" ht="30.6" customHeight="1" x14ac:dyDescent="0.3">
      <c r="A18" s="74" t="s">
        <v>197</v>
      </c>
      <c r="B18" s="36" t="s">
        <v>32</v>
      </c>
      <c r="C18" s="40" t="s">
        <v>200</v>
      </c>
      <c r="D18" s="40" t="s">
        <v>439</v>
      </c>
      <c r="E18" s="36" t="s">
        <v>13</v>
      </c>
      <c r="F18" s="41" t="s">
        <v>198</v>
      </c>
      <c r="G18" s="41" t="s">
        <v>199</v>
      </c>
      <c r="H18" s="36" t="s">
        <v>47</v>
      </c>
      <c r="I18" s="36" t="s">
        <v>43</v>
      </c>
      <c r="J18" s="36">
        <v>0</v>
      </c>
      <c r="K18" s="70">
        <v>42185</v>
      </c>
      <c r="L18" s="70">
        <v>34710</v>
      </c>
      <c r="M18" s="42" t="s">
        <v>44</v>
      </c>
      <c r="N18" s="42" t="s">
        <v>44</v>
      </c>
      <c r="O18" s="42">
        <f t="shared" si="1"/>
        <v>1</v>
      </c>
      <c r="P18" s="42">
        <f t="shared" si="2"/>
        <v>1</v>
      </c>
      <c r="Q18" s="42">
        <f t="shared" si="3"/>
        <v>7475</v>
      </c>
      <c r="R18" s="42">
        <v>0</v>
      </c>
      <c r="S18" s="42">
        <v>1</v>
      </c>
      <c r="T18" s="63">
        <v>0</v>
      </c>
      <c r="U18" s="63">
        <v>0</v>
      </c>
      <c r="V18" s="63">
        <v>0</v>
      </c>
      <c r="W18" s="79">
        <f t="shared" si="0"/>
        <v>1</v>
      </c>
    </row>
    <row r="19" spans="1:26" s="109" customFormat="1" ht="37.200000000000003" customHeight="1" x14ac:dyDescent="0.3">
      <c r="A19" s="101" t="s">
        <v>49</v>
      </c>
      <c r="B19" s="102" t="s">
        <v>48</v>
      </c>
      <c r="C19" s="102" t="s">
        <v>201</v>
      </c>
      <c r="D19" s="102" t="s">
        <v>466</v>
      </c>
      <c r="E19" s="103" t="s">
        <v>6</v>
      </c>
      <c r="F19" s="104" t="s">
        <v>489</v>
      </c>
      <c r="G19" s="104" t="s">
        <v>490</v>
      </c>
      <c r="H19" s="103" t="s">
        <v>47</v>
      </c>
      <c r="I19" s="103" t="s">
        <v>44</v>
      </c>
      <c r="J19" s="103">
        <v>1</v>
      </c>
      <c r="K19" s="110">
        <v>31728</v>
      </c>
      <c r="L19" s="110">
        <v>36161</v>
      </c>
      <c r="M19" s="106" t="s">
        <v>43</v>
      </c>
      <c r="N19" s="106" t="s">
        <v>44</v>
      </c>
      <c r="O19" s="106">
        <f t="shared" si="1"/>
        <v>0</v>
      </c>
      <c r="P19" s="106">
        <f t="shared" si="2"/>
        <v>0</v>
      </c>
      <c r="Q19" s="106" t="s">
        <v>465</v>
      </c>
      <c r="R19" s="106">
        <v>2</v>
      </c>
      <c r="S19" s="106">
        <v>17</v>
      </c>
      <c r="T19" s="107">
        <v>9.0999999999999998E-2</v>
      </c>
      <c r="U19" s="107">
        <v>0</v>
      </c>
      <c r="V19" s="107">
        <v>0.36399999999999999</v>
      </c>
      <c r="W19" s="108">
        <f t="shared" si="0"/>
        <v>0.54500000000000004</v>
      </c>
    </row>
    <row r="20" spans="1:26" s="14" customFormat="1" ht="31.2" customHeight="1" x14ac:dyDescent="0.3">
      <c r="A20" s="74" t="s">
        <v>51</v>
      </c>
      <c r="B20" s="97" t="s">
        <v>50</v>
      </c>
      <c r="C20" s="97" t="s">
        <v>202</v>
      </c>
      <c r="D20" s="97" t="s">
        <v>440</v>
      </c>
      <c r="E20" s="36" t="s">
        <v>6</v>
      </c>
      <c r="F20" s="41" t="s">
        <v>491</v>
      </c>
      <c r="G20" s="41" t="s">
        <v>492</v>
      </c>
      <c r="H20" s="36" t="s">
        <v>47</v>
      </c>
      <c r="I20" s="36" t="s">
        <v>44</v>
      </c>
      <c r="J20" s="36">
        <v>0</v>
      </c>
      <c r="K20" s="98">
        <v>32457</v>
      </c>
      <c r="L20" s="98">
        <v>36549</v>
      </c>
      <c r="M20" s="42" t="s">
        <v>43</v>
      </c>
      <c r="N20" s="42" t="s">
        <v>43</v>
      </c>
      <c r="O20" s="42">
        <f t="shared" si="1"/>
        <v>0</v>
      </c>
      <c r="P20" s="42">
        <f t="shared" si="2"/>
        <v>0</v>
      </c>
      <c r="Q20" s="42">
        <f t="shared" si="3"/>
        <v>-4092</v>
      </c>
      <c r="R20" s="42">
        <v>0</v>
      </c>
      <c r="S20" s="42">
        <v>5</v>
      </c>
      <c r="T20" s="63">
        <v>0</v>
      </c>
      <c r="U20" s="63">
        <v>0.5</v>
      </c>
      <c r="V20" s="63">
        <v>0</v>
      </c>
      <c r="W20" s="79">
        <f t="shared" si="0"/>
        <v>0.5</v>
      </c>
      <c r="Z20"/>
    </row>
    <row r="21" spans="1:26" ht="42.6" customHeight="1" x14ac:dyDescent="0.3">
      <c r="A21" s="73" t="s">
        <v>53</v>
      </c>
      <c r="B21" s="44" t="s">
        <v>52</v>
      </c>
      <c r="C21" s="33" t="s">
        <v>204</v>
      </c>
      <c r="D21" s="33" t="s">
        <v>441</v>
      </c>
      <c r="E21" s="34" t="s">
        <v>6</v>
      </c>
      <c r="F21" s="35" t="s">
        <v>205</v>
      </c>
      <c r="G21" s="35" t="s">
        <v>206</v>
      </c>
      <c r="H21" s="34" t="s">
        <v>47</v>
      </c>
      <c r="I21" s="34" t="s">
        <v>44</v>
      </c>
      <c r="J21" s="34">
        <v>0</v>
      </c>
      <c r="K21" s="39">
        <v>41470</v>
      </c>
      <c r="L21" s="39">
        <v>39253</v>
      </c>
      <c r="M21" s="38" t="s">
        <v>44</v>
      </c>
      <c r="N21" s="38" t="s">
        <v>44</v>
      </c>
      <c r="O21" s="38">
        <f t="shared" si="1"/>
        <v>0</v>
      </c>
      <c r="P21" s="42">
        <f t="shared" si="2"/>
        <v>0</v>
      </c>
      <c r="Q21" s="38">
        <f t="shared" si="3"/>
        <v>2217</v>
      </c>
      <c r="R21" s="42">
        <v>5</v>
      </c>
      <c r="S21" s="42">
        <v>23</v>
      </c>
      <c r="T21" s="63">
        <v>0.5</v>
      </c>
      <c r="U21" s="63">
        <v>0</v>
      </c>
      <c r="V21" s="63">
        <v>0.312</v>
      </c>
      <c r="W21" s="77">
        <f t="shared" si="0"/>
        <v>0.18799999999999994</v>
      </c>
    </row>
    <row r="22" spans="1:26" ht="36" customHeight="1" x14ac:dyDescent="0.3">
      <c r="A22" s="73" t="s">
        <v>54</v>
      </c>
      <c r="B22" s="34" t="s">
        <v>32</v>
      </c>
      <c r="C22" s="33" t="s">
        <v>209</v>
      </c>
      <c r="D22" s="33" t="s">
        <v>442</v>
      </c>
      <c r="E22" s="34" t="s">
        <v>6</v>
      </c>
      <c r="F22" s="35" t="s">
        <v>207</v>
      </c>
      <c r="G22" s="35" t="s">
        <v>208</v>
      </c>
      <c r="H22" s="34" t="s">
        <v>47</v>
      </c>
      <c r="I22" s="34" t="s">
        <v>44</v>
      </c>
      <c r="J22" s="34">
        <v>0</v>
      </c>
      <c r="K22" s="39">
        <v>38933</v>
      </c>
      <c r="L22" s="39">
        <v>44713</v>
      </c>
      <c r="M22" s="38" t="s">
        <v>43</v>
      </c>
      <c r="N22" s="38" t="s">
        <v>45</v>
      </c>
      <c r="O22" s="38">
        <f t="shared" si="1"/>
        <v>0</v>
      </c>
      <c r="P22" s="42">
        <f t="shared" si="2"/>
        <v>0</v>
      </c>
      <c r="Q22" s="38">
        <f t="shared" si="3"/>
        <v>-5780</v>
      </c>
      <c r="R22" s="42">
        <v>1</v>
      </c>
      <c r="S22" s="42">
        <v>4</v>
      </c>
      <c r="T22" s="63">
        <v>0</v>
      </c>
      <c r="U22" s="63">
        <v>0</v>
      </c>
      <c r="V22" s="63">
        <v>0</v>
      </c>
      <c r="W22" s="77">
        <f t="shared" si="0"/>
        <v>1</v>
      </c>
    </row>
    <row r="23" spans="1:26" ht="39.6" customHeight="1" x14ac:dyDescent="0.3">
      <c r="A23" s="73" t="s">
        <v>55</v>
      </c>
      <c r="B23" s="34" t="s">
        <v>32</v>
      </c>
      <c r="C23" s="33" t="s">
        <v>210</v>
      </c>
      <c r="D23" s="33" t="s">
        <v>443</v>
      </c>
      <c r="E23" s="34" t="s">
        <v>13</v>
      </c>
      <c r="F23" s="35" t="s">
        <v>211</v>
      </c>
      <c r="G23" s="35" t="s">
        <v>212</v>
      </c>
      <c r="H23" s="34" t="s">
        <v>47</v>
      </c>
      <c r="I23" s="34" t="s">
        <v>44</v>
      </c>
      <c r="J23" s="34">
        <v>0</v>
      </c>
      <c r="K23" s="39">
        <v>39546</v>
      </c>
      <c r="L23" s="39">
        <v>38643</v>
      </c>
      <c r="M23" s="38" t="s">
        <v>44</v>
      </c>
      <c r="N23" s="38" t="s">
        <v>44</v>
      </c>
      <c r="O23" s="38">
        <f t="shared" si="1"/>
        <v>0</v>
      </c>
      <c r="P23" s="42">
        <f t="shared" si="2"/>
        <v>0</v>
      </c>
      <c r="Q23" s="38">
        <f t="shared" si="3"/>
        <v>903</v>
      </c>
      <c r="R23" s="42">
        <v>0</v>
      </c>
      <c r="S23" s="42">
        <v>1</v>
      </c>
      <c r="T23" s="63">
        <v>0</v>
      </c>
      <c r="U23" s="63">
        <v>0</v>
      </c>
      <c r="V23" s="63">
        <v>0</v>
      </c>
      <c r="W23" s="77">
        <f t="shared" si="0"/>
        <v>1</v>
      </c>
    </row>
    <row r="24" spans="1:26" ht="37.799999999999997" customHeight="1" x14ac:dyDescent="0.3">
      <c r="A24" s="73" t="s">
        <v>57</v>
      </c>
      <c r="B24" s="44" t="s">
        <v>56</v>
      </c>
      <c r="C24" s="33" t="s">
        <v>214</v>
      </c>
      <c r="D24" s="33" t="s">
        <v>444</v>
      </c>
      <c r="E24" s="34" t="s">
        <v>13</v>
      </c>
      <c r="F24" s="35" t="s">
        <v>213</v>
      </c>
      <c r="G24" s="35" t="s">
        <v>198</v>
      </c>
      <c r="H24" s="34" t="s">
        <v>47</v>
      </c>
      <c r="I24" s="34" t="s">
        <v>43</v>
      </c>
      <c r="J24" s="34">
        <v>1</v>
      </c>
      <c r="K24" s="39">
        <v>42165</v>
      </c>
      <c r="L24" s="39">
        <v>42746</v>
      </c>
      <c r="M24" s="38" t="s">
        <v>45</v>
      </c>
      <c r="N24" s="38" t="s">
        <v>44</v>
      </c>
      <c r="O24" s="38">
        <f t="shared" si="1"/>
        <v>1</v>
      </c>
      <c r="P24" s="42">
        <f t="shared" si="2"/>
        <v>0</v>
      </c>
      <c r="Q24" s="38">
        <f t="shared" si="3"/>
        <v>-581</v>
      </c>
      <c r="R24" s="42">
        <v>0</v>
      </c>
      <c r="S24" s="42">
        <v>8</v>
      </c>
      <c r="T24" s="63">
        <v>0</v>
      </c>
      <c r="U24" s="63">
        <v>0</v>
      </c>
      <c r="V24" s="63">
        <v>0.6</v>
      </c>
      <c r="W24" s="77">
        <f t="shared" si="0"/>
        <v>0.4</v>
      </c>
    </row>
    <row r="25" spans="1:26" ht="42" customHeight="1" x14ac:dyDescent="0.3">
      <c r="A25" s="73" t="s">
        <v>58</v>
      </c>
      <c r="B25" s="34" t="s">
        <v>32</v>
      </c>
      <c r="C25" s="33" t="s">
        <v>215</v>
      </c>
      <c r="D25" s="33"/>
      <c r="E25" s="34" t="s">
        <v>13</v>
      </c>
      <c r="F25" s="35" t="s">
        <v>198</v>
      </c>
      <c r="G25" s="35" t="s">
        <v>216</v>
      </c>
      <c r="H25" s="34" t="s">
        <v>47</v>
      </c>
      <c r="I25" s="34" t="s">
        <v>43</v>
      </c>
      <c r="J25" s="34">
        <v>0</v>
      </c>
      <c r="K25" s="39">
        <v>41533</v>
      </c>
      <c r="L25" s="39">
        <v>40422</v>
      </c>
      <c r="M25" s="38" t="s">
        <v>44</v>
      </c>
      <c r="N25" s="38" t="s">
        <v>44</v>
      </c>
      <c r="O25" s="38">
        <f>IF(I25="YES",1,0)</f>
        <v>1</v>
      </c>
      <c r="P25" s="42">
        <v>1</v>
      </c>
      <c r="Q25" s="38">
        <v>1110</v>
      </c>
      <c r="R25" s="42">
        <v>0</v>
      </c>
      <c r="S25" s="42">
        <v>0</v>
      </c>
      <c r="T25" s="63">
        <v>0</v>
      </c>
      <c r="U25" s="63">
        <v>0</v>
      </c>
      <c r="V25" s="63">
        <v>0</v>
      </c>
      <c r="W25" s="77">
        <f t="shared" si="0"/>
        <v>0</v>
      </c>
    </row>
    <row r="26" spans="1:26" ht="38.4" customHeight="1" x14ac:dyDescent="0.3">
      <c r="A26" s="73" t="s">
        <v>59</v>
      </c>
      <c r="B26" s="34" t="s">
        <v>32</v>
      </c>
      <c r="C26" s="33" t="s">
        <v>217</v>
      </c>
      <c r="D26" s="33"/>
      <c r="E26" s="34" t="s">
        <v>13</v>
      </c>
      <c r="F26" s="35" t="s">
        <v>213</v>
      </c>
      <c r="G26" s="35" t="s">
        <v>198</v>
      </c>
      <c r="H26" s="34" t="s">
        <v>47</v>
      </c>
      <c r="I26" s="34" t="s">
        <v>43</v>
      </c>
      <c r="J26" s="34">
        <v>1</v>
      </c>
      <c r="K26" s="39">
        <v>43286</v>
      </c>
      <c r="L26" s="39">
        <v>43530</v>
      </c>
      <c r="M26" s="38" t="s">
        <v>44</v>
      </c>
      <c r="N26" s="38" t="s">
        <v>44</v>
      </c>
      <c r="O26" s="38">
        <f t="shared" si="1"/>
        <v>1</v>
      </c>
      <c r="P26" s="42">
        <f t="shared" si="2"/>
        <v>1</v>
      </c>
      <c r="Q26" s="38">
        <f t="shared" si="3"/>
        <v>-244</v>
      </c>
      <c r="R26" s="42">
        <v>0</v>
      </c>
      <c r="S26" s="42">
        <v>0</v>
      </c>
      <c r="T26" s="63">
        <v>0</v>
      </c>
      <c r="U26" s="63">
        <v>0</v>
      </c>
      <c r="V26" s="63">
        <v>0</v>
      </c>
      <c r="W26" s="77">
        <f t="shared" si="0"/>
        <v>0</v>
      </c>
    </row>
    <row r="27" spans="1:26" ht="32.4" customHeight="1" x14ac:dyDescent="0.3">
      <c r="A27" s="73" t="s">
        <v>60</v>
      </c>
      <c r="B27" s="34" t="s">
        <v>32</v>
      </c>
      <c r="C27" s="33" t="s">
        <v>218</v>
      </c>
      <c r="D27" s="33" t="s">
        <v>445</v>
      </c>
      <c r="E27" s="34" t="s">
        <v>13</v>
      </c>
      <c r="F27" s="35" t="s">
        <v>198</v>
      </c>
      <c r="G27" s="35" t="s">
        <v>216</v>
      </c>
      <c r="H27" s="34" t="s">
        <v>47</v>
      </c>
      <c r="I27" s="34" t="s">
        <v>43</v>
      </c>
      <c r="J27" s="34">
        <v>0</v>
      </c>
      <c r="K27" s="39">
        <v>43286</v>
      </c>
      <c r="L27" s="39">
        <v>40199</v>
      </c>
      <c r="M27" s="38" t="s">
        <v>44</v>
      </c>
      <c r="N27" s="38" t="s">
        <v>44</v>
      </c>
      <c r="O27" s="38">
        <f t="shared" si="1"/>
        <v>1</v>
      </c>
      <c r="P27" s="42">
        <f t="shared" si="2"/>
        <v>1</v>
      </c>
      <c r="Q27" s="38">
        <f t="shared" si="3"/>
        <v>3087</v>
      </c>
      <c r="R27" s="42">
        <v>0</v>
      </c>
      <c r="S27" s="42">
        <v>1</v>
      </c>
      <c r="T27" s="63">
        <v>0</v>
      </c>
      <c r="U27" s="63">
        <v>0</v>
      </c>
      <c r="V27" s="63">
        <v>0</v>
      </c>
      <c r="W27" s="77">
        <f t="shared" si="0"/>
        <v>1</v>
      </c>
    </row>
    <row r="28" spans="1:26" ht="39.6" customHeight="1" x14ac:dyDescent="0.3">
      <c r="A28" s="73" t="s">
        <v>61</v>
      </c>
      <c r="B28" s="34" t="s">
        <v>32</v>
      </c>
      <c r="C28" s="33" t="s">
        <v>219</v>
      </c>
      <c r="D28" s="33" t="s">
        <v>446</v>
      </c>
      <c r="E28" s="34" t="s">
        <v>3</v>
      </c>
      <c r="F28" s="35" t="s">
        <v>198</v>
      </c>
      <c r="G28" s="35" t="s">
        <v>220</v>
      </c>
      <c r="H28" s="34" t="s">
        <v>47</v>
      </c>
      <c r="I28" s="34" t="s">
        <v>43</v>
      </c>
      <c r="J28" s="34">
        <v>0</v>
      </c>
      <c r="K28" s="39">
        <v>42124</v>
      </c>
      <c r="L28" s="39">
        <v>42655</v>
      </c>
      <c r="M28" s="38" t="s">
        <v>44</v>
      </c>
      <c r="N28" s="38" t="s">
        <v>44</v>
      </c>
      <c r="O28" s="38">
        <f t="shared" si="1"/>
        <v>1</v>
      </c>
      <c r="P28" s="42">
        <v>0</v>
      </c>
      <c r="Q28" s="38">
        <v>-531</v>
      </c>
      <c r="R28" s="42">
        <v>0</v>
      </c>
      <c r="S28" s="42">
        <v>3</v>
      </c>
      <c r="T28" s="63">
        <v>0.33300000000000002</v>
      </c>
      <c r="U28" s="63">
        <v>0</v>
      </c>
      <c r="V28" s="63">
        <v>0.33300000000000002</v>
      </c>
      <c r="W28" s="77">
        <f t="shared" si="0"/>
        <v>0.33399999999999996</v>
      </c>
    </row>
    <row r="29" spans="1:26" ht="28.2" customHeight="1" x14ac:dyDescent="0.3">
      <c r="A29" s="73" t="s">
        <v>63</v>
      </c>
      <c r="B29" s="44" t="s">
        <v>62</v>
      </c>
      <c r="C29" s="33" t="s">
        <v>221</v>
      </c>
      <c r="D29" s="33"/>
      <c r="E29" s="34" t="s">
        <v>64</v>
      </c>
      <c r="F29" s="35" t="s">
        <v>222</v>
      </c>
      <c r="G29" s="35" t="s">
        <v>208</v>
      </c>
      <c r="H29" s="34" t="s">
        <v>47</v>
      </c>
      <c r="I29" s="34" t="s">
        <v>44</v>
      </c>
      <c r="J29" s="34">
        <v>1</v>
      </c>
      <c r="K29" s="39">
        <v>38076</v>
      </c>
      <c r="L29" s="39">
        <v>45208</v>
      </c>
      <c r="M29" s="38" t="s">
        <v>44</v>
      </c>
      <c r="N29" s="38" t="s">
        <v>43</v>
      </c>
      <c r="O29" s="38">
        <f t="shared" si="1"/>
        <v>0</v>
      </c>
      <c r="P29" s="42">
        <f t="shared" si="2"/>
        <v>0</v>
      </c>
      <c r="Q29" s="38">
        <f t="shared" si="3"/>
        <v>-7132</v>
      </c>
      <c r="R29" s="42">
        <v>0</v>
      </c>
      <c r="S29" s="42">
        <v>0</v>
      </c>
      <c r="T29" s="63">
        <v>0</v>
      </c>
      <c r="U29" s="63">
        <v>0</v>
      </c>
      <c r="V29" s="63">
        <v>0</v>
      </c>
      <c r="W29" s="77">
        <f t="shared" si="0"/>
        <v>0</v>
      </c>
    </row>
    <row r="30" spans="1:26" ht="31.2" customHeight="1" x14ac:dyDescent="0.3">
      <c r="A30" s="73" t="s">
        <v>65</v>
      </c>
      <c r="B30" s="34" t="s">
        <v>32</v>
      </c>
      <c r="C30" s="33" t="s">
        <v>223</v>
      </c>
      <c r="D30" s="33" t="s">
        <v>447</v>
      </c>
      <c r="E30" s="34" t="s">
        <v>20</v>
      </c>
      <c r="F30" s="35" t="s">
        <v>224</v>
      </c>
      <c r="G30" s="35" t="s">
        <v>220</v>
      </c>
      <c r="H30" s="34" t="s">
        <v>47</v>
      </c>
      <c r="I30" s="34" t="s">
        <v>43</v>
      </c>
      <c r="J30" s="34">
        <v>0</v>
      </c>
      <c r="K30" s="39">
        <v>40199</v>
      </c>
      <c r="L30" s="39">
        <v>44985</v>
      </c>
      <c r="M30" s="38" t="s">
        <v>44</v>
      </c>
      <c r="N30" s="38" t="s">
        <v>44</v>
      </c>
      <c r="O30" s="38">
        <f t="shared" si="1"/>
        <v>1</v>
      </c>
      <c r="P30" s="42">
        <f t="shared" si="2"/>
        <v>0</v>
      </c>
      <c r="Q30" s="38">
        <f t="shared" si="3"/>
        <v>-4786</v>
      </c>
      <c r="R30" s="42">
        <v>1</v>
      </c>
      <c r="S30" s="42">
        <v>9</v>
      </c>
      <c r="T30" s="63">
        <v>0</v>
      </c>
      <c r="U30" s="63">
        <v>0.28599999999999998</v>
      </c>
      <c r="V30" s="63">
        <v>0.14299999999999999</v>
      </c>
      <c r="W30" s="77">
        <f t="shared" si="0"/>
        <v>0.57100000000000006</v>
      </c>
    </row>
    <row r="31" spans="1:26" ht="38.4" customHeight="1" x14ac:dyDescent="0.3">
      <c r="A31" s="73" t="s">
        <v>66</v>
      </c>
      <c r="B31" s="34" t="s">
        <v>32</v>
      </c>
      <c r="C31" s="33" t="s">
        <v>226</v>
      </c>
      <c r="D31" s="33" t="s">
        <v>435</v>
      </c>
      <c r="E31" s="34" t="s">
        <v>64</v>
      </c>
      <c r="F31" s="35" t="s">
        <v>225</v>
      </c>
      <c r="G31" s="35" t="s">
        <v>220</v>
      </c>
      <c r="H31" s="34" t="s">
        <v>47</v>
      </c>
      <c r="I31" s="34" t="s">
        <v>43</v>
      </c>
      <c r="J31" s="34">
        <v>1</v>
      </c>
      <c r="K31" s="39">
        <v>45184</v>
      </c>
      <c r="L31" s="39">
        <v>44498</v>
      </c>
      <c r="M31" s="38" t="s">
        <v>44</v>
      </c>
      <c r="N31" s="38" t="s">
        <v>44</v>
      </c>
      <c r="O31" s="38">
        <f t="shared" si="1"/>
        <v>1</v>
      </c>
      <c r="P31" s="42">
        <f t="shared" si="2"/>
        <v>1</v>
      </c>
      <c r="Q31" s="38">
        <f t="shared" si="3"/>
        <v>686</v>
      </c>
      <c r="R31" s="42">
        <v>0</v>
      </c>
      <c r="S31" s="42">
        <v>2</v>
      </c>
      <c r="T31" s="63">
        <v>0</v>
      </c>
      <c r="U31" s="63">
        <v>0</v>
      </c>
      <c r="V31" s="63">
        <v>0</v>
      </c>
      <c r="W31" s="77">
        <f t="shared" si="0"/>
        <v>1</v>
      </c>
    </row>
    <row r="32" spans="1:26" ht="30" customHeight="1" x14ac:dyDescent="0.3">
      <c r="A32" s="73" t="s">
        <v>67</v>
      </c>
      <c r="B32" s="34" t="s">
        <v>32</v>
      </c>
      <c r="C32" s="33" t="s">
        <v>227</v>
      </c>
      <c r="D32" s="33"/>
      <c r="E32" s="34" t="s">
        <v>31</v>
      </c>
      <c r="F32" s="35" t="s">
        <v>216</v>
      </c>
      <c r="G32" s="35" t="s">
        <v>228</v>
      </c>
      <c r="H32" s="34" t="s">
        <v>47</v>
      </c>
      <c r="I32" s="34" t="s">
        <v>43</v>
      </c>
      <c r="J32" s="34">
        <v>0</v>
      </c>
      <c r="K32" s="39">
        <v>44474</v>
      </c>
      <c r="L32" s="39">
        <v>45681</v>
      </c>
      <c r="M32" s="38" t="s">
        <v>44</v>
      </c>
      <c r="N32" s="38" t="s">
        <v>44</v>
      </c>
      <c r="O32" s="38">
        <f t="shared" si="1"/>
        <v>1</v>
      </c>
      <c r="P32" s="42">
        <f t="shared" si="2"/>
        <v>0</v>
      </c>
      <c r="Q32" s="38">
        <f t="shared" si="3"/>
        <v>-1207</v>
      </c>
      <c r="R32" s="42">
        <v>0</v>
      </c>
      <c r="S32" s="42">
        <v>0</v>
      </c>
      <c r="T32" s="63">
        <v>0</v>
      </c>
      <c r="U32" s="63">
        <v>0</v>
      </c>
      <c r="V32" s="63">
        <v>0</v>
      </c>
      <c r="W32" s="77">
        <f t="shared" si="0"/>
        <v>0</v>
      </c>
    </row>
    <row r="33" spans="1:26" ht="28.2" customHeight="1" x14ac:dyDescent="0.3">
      <c r="A33" s="73" t="s">
        <v>73</v>
      </c>
      <c r="B33" s="44" t="s">
        <v>68</v>
      </c>
      <c r="C33" s="33" t="s">
        <v>231</v>
      </c>
      <c r="D33" s="33"/>
      <c r="E33" s="34" t="s">
        <v>31</v>
      </c>
      <c r="F33" s="35" t="s">
        <v>229</v>
      </c>
      <c r="G33" s="35" t="s">
        <v>230</v>
      </c>
      <c r="H33" s="34" t="s">
        <v>47</v>
      </c>
      <c r="I33" s="34" t="s">
        <v>44</v>
      </c>
      <c r="J33" s="34">
        <v>0</v>
      </c>
      <c r="K33" s="39">
        <v>46028</v>
      </c>
      <c r="L33" s="39">
        <v>45895</v>
      </c>
      <c r="M33" s="38" t="s">
        <v>43</v>
      </c>
      <c r="N33" s="38" t="s">
        <v>44</v>
      </c>
      <c r="O33" s="38">
        <f t="shared" si="1"/>
        <v>0</v>
      </c>
      <c r="P33" s="42">
        <f t="shared" si="2"/>
        <v>0</v>
      </c>
      <c r="Q33" s="38">
        <f t="shared" si="3"/>
        <v>133</v>
      </c>
      <c r="R33" s="42">
        <v>0</v>
      </c>
      <c r="S33" s="42">
        <v>0</v>
      </c>
      <c r="T33" s="63">
        <v>0</v>
      </c>
      <c r="U33" s="63">
        <v>0</v>
      </c>
      <c r="V33" s="63">
        <v>0</v>
      </c>
      <c r="W33" s="77">
        <f t="shared" si="0"/>
        <v>0</v>
      </c>
    </row>
    <row r="34" spans="1:26" s="14" customFormat="1" ht="29.4" customHeight="1" x14ac:dyDescent="0.3">
      <c r="A34" s="74" t="s">
        <v>74</v>
      </c>
      <c r="B34" s="97" t="s">
        <v>69</v>
      </c>
      <c r="C34" s="97" t="s">
        <v>232</v>
      </c>
      <c r="D34" s="97"/>
      <c r="E34" s="36" t="s">
        <v>31</v>
      </c>
      <c r="F34" s="41" t="s">
        <v>502</v>
      </c>
      <c r="G34" s="41" t="s">
        <v>502</v>
      </c>
      <c r="H34" s="36" t="s">
        <v>47</v>
      </c>
      <c r="I34" s="36" t="s">
        <v>43</v>
      </c>
      <c r="J34" s="36">
        <v>0</v>
      </c>
      <c r="K34" s="98">
        <f>L34+365*5</f>
        <v>47026</v>
      </c>
      <c r="L34" s="98">
        <v>45201</v>
      </c>
      <c r="M34" s="42" t="s">
        <v>44</v>
      </c>
      <c r="N34" s="42" t="s">
        <v>44</v>
      </c>
      <c r="O34" s="42">
        <f t="shared" si="1"/>
        <v>1</v>
      </c>
      <c r="P34" s="42">
        <f t="shared" si="2"/>
        <v>1</v>
      </c>
      <c r="Q34" s="42">
        <f t="shared" si="3"/>
        <v>1825</v>
      </c>
      <c r="R34" s="42">
        <v>0</v>
      </c>
      <c r="S34" s="42">
        <v>0</v>
      </c>
      <c r="T34" s="63">
        <v>0</v>
      </c>
      <c r="U34" s="63">
        <v>0</v>
      </c>
      <c r="V34" s="63">
        <v>0</v>
      </c>
      <c r="W34" s="79">
        <f t="shared" si="0"/>
        <v>0</v>
      </c>
      <c r="Z34" s="67"/>
    </row>
    <row r="35" spans="1:26" s="14" customFormat="1" ht="28.8" customHeight="1" x14ac:dyDescent="0.3">
      <c r="A35" s="74" t="s">
        <v>70</v>
      </c>
      <c r="B35" s="99" t="s">
        <v>32</v>
      </c>
      <c r="C35" s="97" t="s">
        <v>233</v>
      </c>
      <c r="D35" s="97"/>
      <c r="E35" s="36" t="s">
        <v>31</v>
      </c>
      <c r="F35" s="41" t="s">
        <v>501</v>
      </c>
      <c r="G35" s="41" t="s">
        <v>501</v>
      </c>
      <c r="H35" s="36" t="s">
        <v>47</v>
      </c>
      <c r="I35" s="36" t="s">
        <v>43</v>
      </c>
      <c r="J35" s="36">
        <v>0</v>
      </c>
      <c r="K35" s="98">
        <f>365*5+L35</f>
        <v>47405</v>
      </c>
      <c r="L35" s="98">
        <v>45580</v>
      </c>
      <c r="M35" s="42" t="s">
        <v>44</v>
      </c>
      <c r="N35" s="42" t="s">
        <v>44</v>
      </c>
      <c r="O35" s="42">
        <f t="shared" si="1"/>
        <v>1</v>
      </c>
      <c r="P35" s="42">
        <f t="shared" si="2"/>
        <v>1</v>
      </c>
      <c r="Q35" s="42">
        <f t="shared" si="3"/>
        <v>1825</v>
      </c>
      <c r="R35" s="42">
        <v>0</v>
      </c>
      <c r="S35" s="42">
        <v>0</v>
      </c>
      <c r="T35" s="63">
        <v>0</v>
      </c>
      <c r="U35" s="63">
        <v>0</v>
      </c>
      <c r="V35" s="63">
        <v>0</v>
      </c>
      <c r="W35" s="79">
        <f t="shared" si="0"/>
        <v>0</v>
      </c>
      <c r="Z35" s="67"/>
    </row>
    <row r="36" spans="1:26" s="14" customFormat="1" ht="31.2" x14ac:dyDescent="0.3">
      <c r="A36" s="74" t="s">
        <v>72</v>
      </c>
      <c r="B36" s="97" t="s">
        <v>71</v>
      </c>
      <c r="C36" s="99"/>
      <c r="D36" s="99"/>
      <c r="E36" s="36" t="s">
        <v>31</v>
      </c>
      <c r="F36" s="41" t="s">
        <v>225</v>
      </c>
      <c r="G36" s="41" t="s">
        <v>196</v>
      </c>
      <c r="H36" s="36" t="s">
        <v>47</v>
      </c>
      <c r="I36" s="36" t="s">
        <v>43</v>
      </c>
      <c r="J36" s="36">
        <v>1</v>
      </c>
      <c r="K36" s="98">
        <f>L36+365*5</f>
        <v>47405</v>
      </c>
      <c r="L36" s="70">
        <v>45580</v>
      </c>
      <c r="M36" s="42" t="s">
        <v>44</v>
      </c>
      <c r="N36" s="42" t="s">
        <v>44</v>
      </c>
      <c r="O36" s="42">
        <f t="shared" si="1"/>
        <v>1</v>
      </c>
      <c r="P36" s="42">
        <f t="shared" si="2"/>
        <v>1</v>
      </c>
      <c r="Q36" s="42">
        <f t="shared" si="3"/>
        <v>1825</v>
      </c>
      <c r="R36" s="42">
        <v>0</v>
      </c>
      <c r="S36" s="42">
        <v>0</v>
      </c>
      <c r="T36" s="63">
        <v>0</v>
      </c>
      <c r="U36" s="63">
        <v>0</v>
      </c>
      <c r="V36" s="63">
        <v>0</v>
      </c>
      <c r="W36" s="79">
        <f t="shared" si="0"/>
        <v>0</v>
      </c>
      <c r="Z36" s="67"/>
    </row>
    <row r="37" spans="1:26" s="14" customFormat="1" ht="30.6" customHeight="1" x14ac:dyDescent="0.3">
      <c r="A37" s="74" t="s">
        <v>236</v>
      </c>
      <c r="B37" s="36"/>
      <c r="C37" s="40" t="s">
        <v>249</v>
      </c>
      <c r="D37" s="51" t="s">
        <v>448</v>
      </c>
      <c r="E37" s="36" t="s">
        <v>3</v>
      </c>
      <c r="F37" s="41" t="s">
        <v>168</v>
      </c>
      <c r="G37" s="41" t="s">
        <v>190</v>
      </c>
      <c r="H37" s="36" t="s">
        <v>250</v>
      </c>
      <c r="I37" s="36" t="s">
        <v>43</v>
      </c>
      <c r="J37" s="36">
        <v>1</v>
      </c>
      <c r="K37" s="70">
        <v>43521</v>
      </c>
      <c r="L37" s="70">
        <v>42314</v>
      </c>
      <c r="M37" s="42" t="s">
        <v>44</v>
      </c>
      <c r="N37" s="42" t="s">
        <v>44</v>
      </c>
      <c r="O37" s="42">
        <f t="shared" si="1"/>
        <v>1</v>
      </c>
      <c r="P37" s="42">
        <f t="shared" si="2"/>
        <v>1</v>
      </c>
      <c r="Q37" s="42">
        <f>K37-L37</f>
        <v>1207</v>
      </c>
      <c r="R37" s="42">
        <v>1</v>
      </c>
      <c r="S37" s="42">
        <v>7</v>
      </c>
      <c r="T37" s="63">
        <v>0.14299999999999999</v>
      </c>
      <c r="U37" s="63">
        <v>0.14299999999999999</v>
      </c>
      <c r="V37" s="63">
        <v>0.71399999999999997</v>
      </c>
      <c r="W37" s="79">
        <f t="shared" si="0"/>
        <v>0</v>
      </c>
    </row>
    <row r="38" spans="1:26" s="14" customFormat="1" ht="24.6" customHeight="1" x14ac:dyDescent="0.3">
      <c r="A38" s="74" t="s">
        <v>235</v>
      </c>
      <c r="B38" s="36"/>
      <c r="C38" s="40" t="s">
        <v>253</v>
      </c>
      <c r="D38" s="51" t="s">
        <v>449</v>
      </c>
      <c r="E38" s="36" t="s">
        <v>6</v>
      </c>
      <c r="F38" s="41" t="s">
        <v>251</v>
      </c>
      <c r="G38" s="41" t="s">
        <v>252</v>
      </c>
      <c r="H38" s="43" t="s">
        <v>250</v>
      </c>
      <c r="I38" s="36" t="s">
        <v>44</v>
      </c>
      <c r="J38" s="36">
        <v>1</v>
      </c>
      <c r="K38" s="37">
        <v>37277</v>
      </c>
      <c r="L38" s="37">
        <v>45210</v>
      </c>
      <c r="M38" s="42" t="s">
        <v>43</v>
      </c>
      <c r="N38" s="42" t="s">
        <v>44</v>
      </c>
      <c r="O38" s="42">
        <f t="shared" si="1"/>
        <v>0</v>
      </c>
      <c r="P38" s="42">
        <f t="shared" si="2"/>
        <v>0</v>
      </c>
      <c r="Q38" s="38">
        <f t="shared" si="3"/>
        <v>-7933</v>
      </c>
      <c r="R38" s="42">
        <v>0</v>
      </c>
      <c r="S38" s="42">
        <v>8</v>
      </c>
      <c r="T38" s="63">
        <v>0</v>
      </c>
      <c r="U38" s="63">
        <v>0.33300000000000002</v>
      </c>
      <c r="V38" s="63">
        <v>0.33300000000000002</v>
      </c>
      <c r="W38" s="77">
        <f t="shared" si="0"/>
        <v>0.33399999999999996</v>
      </c>
    </row>
    <row r="39" spans="1:26" s="14" customFormat="1" ht="21" customHeight="1" x14ac:dyDescent="0.3">
      <c r="A39" s="74" t="s">
        <v>241</v>
      </c>
      <c r="B39" s="36"/>
      <c r="C39" s="40" t="s">
        <v>256</v>
      </c>
      <c r="D39" s="51" t="s">
        <v>450</v>
      </c>
      <c r="E39" s="36" t="s">
        <v>6</v>
      </c>
      <c r="F39" s="41" t="s">
        <v>254</v>
      </c>
      <c r="G39" s="41" t="s">
        <v>255</v>
      </c>
      <c r="H39" s="43" t="s">
        <v>250</v>
      </c>
      <c r="I39" s="36" t="s">
        <v>43</v>
      </c>
      <c r="J39" s="36">
        <v>0</v>
      </c>
      <c r="K39" s="37">
        <v>39357</v>
      </c>
      <c r="L39" s="37">
        <v>42317</v>
      </c>
      <c r="M39" s="42" t="s">
        <v>44</v>
      </c>
      <c r="N39" s="42" t="s">
        <v>44</v>
      </c>
      <c r="O39" s="42">
        <f t="shared" si="1"/>
        <v>1</v>
      </c>
      <c r="P39" s="42">
        <f t="shared" si="2"/>
        <v>0</v>
      </c>
      <c r="Q39" s="38">
        <f t="shared" si="3"/>
        <v>-2960</v>
      </c>
      <c r="R39" s="42">
        <v>0</v>
      </c>
      <c r="S39" s="42">
        <v>7</v>
      </c>
      <c r="T39" s="63">
        <v>0</v>
      </c>
      <c r="U39" s="63">
        <v>0</v>
      </c>
      <c r="V39" s="63">
        <v>1</v>
      </c>
      <c r="W39" s="77">
        <f t="shared" si="0"/>
        <v>0</v>
      </c>
    </row>
    <row r="40" spans="1:26" s="14" customFormat="1" ht="48" customHeight="1" x14ac:dyDescent="0.3">
      <c r="A40" s="74" t="s">
        <v>242</v>
      </c>
      <c r="B40" s="99"/>
      <c r="C40" s="97" t="s">
        <v>257</v>
      </c>
      <c r="D40" s="97" t="s">
        <v>436</v>
      </c>
      <c r="E40" s="36" t="s">
        <v>6</v>
      </c>
      <c r="F40" s="41" t="s">
        <v>493</v>
      </c>
      <c r="G40" s="41" t="s">
        <v>494</v>
      </c>
      <c r="H40" s="43" t="s">
        <v>250</v>
      </c>
      <c r="I40" s="36" t="s">
        <v>44</v>
      </c>
      <c r="J40" s="36">
        <v>0</v>
      </c>
      <c r="K40" s="70">
        <v>39924</v>
      </c>
      <c r="L40" s="70">
        <v>40327</v>
      </c>
      <c r="M40" s="42" t="s">
        <v>44</v>
      </c>
      <c r="N40" s="42" t="s">
        <v>43</v>
      </c>
      <c r="O40" s="42">
        <f t="shared" si="1"/>
        <v>0</v>
      </c>
      <c r="P40" s="42">
        <f t="shared" si="2"/>
        <v>0</v>
      </c>
      <c r="Q40" s="42">
        <f t="shared" si="3"/>
        <v>-403</v>
      </c>
      <c r="R40" s="42">
        <v>0</v>
      </c>
      <c r="S40" s="42">
        <v>1</v>
      </c>
      <c r="T40" s="63">
        <v>0</v>
      </c>
      <c r="U40" s="63">
        <v>0</v>
      </c>
      <c r="V40" s="63">
        <v>0</v>
      </c>
      <c r="W40" s="79">
        <f t="shared" si="0"/>
        <v>1</v>
      </c>
    </row>
    <row r="41" spans="1:26" s="14" customFormat="1" ht="49.2" customHeight="1" x14ac:dyDescent="0.3">
      <c r="A41" s="74" t="s">
        <v>237</v>
      </c>
      <c r="B41" s="36"/>
      <c r="C41" s="40" t="s">
        <v>259</v>
      </c>
      <c r="D41" s="51"/>
      <c r="E41" s="36" t="s">
        <v>3</v>
      </c>
      <c r="F41" s="41" t="s">
        <v>258</v>
      </c>
      <c r="G41" s="41" t="s">
        <v>260</v>
      </c>
      <c r="H41" s="43" t="s">
        <v>250</v>
      </c>
      <c r="I41" s="36" t="s">
        <v>44</v>
      </c>
      <c r="J41" s="36">
        <v>1</v>
      </c>
      <c r="K41" s="37">
        <v>41712</v>
      </c>
      <c r="L41" s="37">
        <v>42438</v>
      </c>
      <c r="M41" s="42" t="s">
        <v>44</v>
      </c>
      <c r="N41" s="42" t="s">
        <v>43</v>
      </c>
      <c r="O41" s="42">
        <f t="shared" si="1"/>
        <v>0</v>
      </c>
      <c r="P41" s="42">
        <f t="shared" si="2"/>
        <v>0</v>
      </c>
      <c r="Q41" s="38">
        <f t="shared" si="3"/>
        <v>-726</v>
      </c>
      <c r="R41" s="42">
        <v>0</v>
      </c>
      <c r="S41" s="42">
        <v>0</v>
      </c>
      <c r="T41" s="63">
        <v>0</v>
      </c>
      <c r="U41" s="63">
        <v>0</v>
      </c>
      <c r="V41" s="63">
        <v>0</v>
      </c>
      <c r="W41" s="77">
        <f t="shared" si="0"/>
        <v>0</v>
      </c>
    </row>
    <row r="42" spans="1:26" s="14" customFormat="1" ht="29.4" customHeight="1" x14ac:dyDescent="0.3">
      <c r="A42" s="76" t="s">
        <v>238</v>
      </c>
      <c r="B42" s="94" t="s">
        <v>408</v>
      </c>
      <c r="C42" s="94" t="s">
        <v>261</v>
      </c>
      <c r="D42" s="94" t="s">
        <v>503</v>
      </c>
      <c r="E42" s="46" t="s">
        <v>3</v>
      </c>
      <c r="F42" s="47" t="s">
        <v>172</v>
      </c>
      <c r="G42" s="47" t="s">
        <v>495</v>
      </c>
      <c r="H42" s="49" t="s">
        <v>250</v>
      </c>
      <c r="I42" s="46" t="s">
        <v>43</v>
      </c>
      <c r="J42" s="46">
        <v>1</v>
      </c>
      <c r="K42" s="50">
        <v>40294</v>
      </c>
      <c r="L42" s="50">
        <v>38442</v>
      </c>
      <c r="M42" s="48" t="s">
        <v>44</v>
      </c>
      <c r="N42" s="48" t="s">
        <v>45</v>
      </c>
      <c r="O42" s="48">
        <f t="shared" si="1"/>
        <v>1</v>
      </c>
      <c r="P42" s="48">
        <f t="shared" si="2"/>
        <v>1</v>
      </c>
      <c r="Q42" s="48">
        <f t="shared" si="3"/>
        <v>1852</v>
      </c>
      <c r="R42" s="48">
        <v>0</v>
      </c>
      <c r="S42" s="48">
        <v>0</v>
      </c>
      <c r="T42" s="66">
        <v>0</v>
      </c>
      <c r="U42" s="66">
        <v>0</v>
      </c>
      <c r="V42" s="66">
        <v>0</v>
      </c>
      <c r="W42" s="78">
        <f t="shared" si="0"/>
        <v>0</v>
      </c>
    </row>
    <row r="43" spans="1:26" s="14" customFormat="1" ht="27.6" customHeight="1" x14ac:dyDescent="0.3">
      <c r="A43" s="74" t="s">
        <v>239</v>
      </c>
      <c r="B43" s="36"/>
      <c r="C43" s="40" t="s">
        <v>263</v>
      </c>
      <c r="D43" s="51"/>
      <c r="E43" s="36" t="s">
        <v>3</v>
      </c>
      <c r="F43" s="41" t="s">
        <v>262</v>
      </c>
      <c r="G43" s="41" t="s">
        <v>181</v>
      </c>
      <c r="H43" s="43" t="s">
        <v>250</v>
      </c>
      <c r="I43" s="36" t="s">
        <v>43</v>
      </c>
      <c r="J43" s="36">
        <v>0</v>
      </c>
      <c r="K43" s="37">
        <v>40897</v>
      </c>
      <c r="L43" s="37">
        <v>37957</v>
      </c>
      <c r="M43" s="42" t="s">
        <v>44</v>
      </c>
      <c r="N43" s="42" t="s">
        <v>44</v>
      </c>
      <c r="O43" s="42">
        <f t="shared" si="1"/>
        <v>1</v>
      </c>
      <c r="P43" s="42">
        <v>1</v>
      </c>
      <c r="Q43" s="38">
        <v>2940</v>
      </c>
      <c r="R43" s="42">
        <v>0</v>
      </c>
      <c r="S43" s="42">
        <v>0</v>
      </c>
      <c r="T43" s="63">
        <v>0</v>
      </c>
      <c r="U43" s="63">
        <v>0</v>
      </c>
      <c r="V43" s="63">
        <v>0</v>
      </c>
      <c r="W43" s="77">
        <f t="shared" si="0"/>
        <v>0</v>
      </c>
    </row>
    <row r="44" spans="1:26" s="14" customFormat="1" ht="31.2" customHeight="1" x14ac:dyDescent="0.3">
      <c r="A44" s="74" t="s">
        <v>240</v>
      </c>
      <c r="B44" s="36"/>
      <c r="C44" s="40" t="s">
        <v>264</v>
      </c>
      <c r="D44" s="51" t="s">
        <v>451</v>
      </c>
      <c r="E44" s="36" t="s">
        <v>3</v>
      </c>
      <c r="F44" s="41" t="s">
        <v>265</v>
      </c>
      <c r="G44" s="41" t="s">
        <v>266</v>
      </c>
      <c r="H44" s="43" t="s">
        <v>250</v>
      </c>
      <c r="I44" s="36" t="s">
        <v>44</v>
      </c>
      <c r="J44" s="36">
        <v>1</v>
      </c>
      <c r="K44" s="70">
        <v>37417</v>
      </c>
      <c r="L44" s="70">
        <v>40875</v>
      </c>
      <c r="M44" s="42" t="s">
        <v>43</v>
      </c>
      <c r="N44" s="42" t="s">
        <v>44</v>
      </c>
      <c r="O44" s="42">
        <f t="shared" si="1"/>
        <v>0</v>
      </c>
      <c r="P44" s="42">
        <f t="shared" si="2"/>
        <v>0</v>
      </c>
      <c r="Q44" s="42">
        <f t="shared" si="3"/>
        <v>-3458</v>
      </c>
      <c r="R44" s="42">
        <v>0</v>
      </c>
      <c r="S44" s="42">
        <v>2</v>
      </c>
      <c r="T44" s="63">
        <v>0</v>
      </c>
      <c r="U44" s="63">
        <v>0</v>
      </c>
      <c r="V44" s="63">
        <v>0</v>
      </c>
      <c r="W44" s="79">
        <f t="shared" si="0"/>
        <v>1</v>
      </c>
    </row>
    <row r="45" spans="1:26" s="14" customFormat="1" ht="31.8" customHeight="1" x14ac:dyDescent="0.3">
      <c r="A45" s="74" t="s">
        <v>243</v>
      </c>
      <c r="B45" s="36"/>
      <c r="C45" s="40" t="s">
        <v>269</v>
      </c>
      <c r="D45" s="51" t="s">
        <v>452</v>
      </c>
      <c r="E45" s="36" t="s">
        <v>20</v>
      </c>
      <c r="F45" s="41" t="s">
        <v>267</v>
      </c>
      <c r="G45" s="41" t="s">
        <v>268</v>
      </c>
      <c r="H45" s="43" t="s">
        <v>250</v>
      </c>
      <c r="I45" s="36" t="s">
        <v>44</v>
      </c>
      <c r="J45" s="36">
        <v>1</v>
      </c>
      <c r="K45" s="37">
        <v>42174</v>
      </c>
      <c r="L45" s="37">
        <v>37700</v>
      </c>
      <c r="M45" s="42" t="s">
        <v>44</v>
      </c>
      <c r="N45" s="42" t="s">
        <v>44</v>
      </c>
      <c r="O45" s="42">
        <f t="shared" si="1"/>
        <v>0</v>
      </c>
      <c r="P45" s="42">
        <f t="shared" si="2"/>
        <v>0</v>
      </c>
      <c r="Q45" s="38">
        <f t="shared" si="3"/>
        <v>4474</v>
      </c>
      <c r="R45" s="42">
        <v>1</v>
      </c>
      <c r="S45" s="42">
        <v>9</v>
      </c>
      <c r="T45" s="63">
        <v>0</v>
      </c>
      <c r="U45" s="63">
        <v>0</v>
      </c>
      <c r="V45" s="63">
        <v>0</v>
      </c>
      <c r="W45" s="77">
        <f t="shared" si="0"/>
        <v>1</v>
      </c>
    </row>
    <row r="46" spans="1:26" s="14" customFormat="1" ht="27.6" customHeight="1" x14ac:dyDescent="0.3">
      <c r="A46" s="74" t="s">
        <v>244</v>
      </c>
      <c r="B46" s="51" t="s">
        <v>271</v>
      </c>
      <c r="C46" s="40" t="s">
        <v>270</v>
      </c>
      <c r="D46" s="51"/>
      <c r="E46" s="36" t="s">
        <v>20</v>
      </c>
      <c r="F46" s="41" t="s">
        <v>168</v>
      </c>
      <c r="G46" s="41" t="s">
        <v>168</v>
      </c>
      <c r="H46" s="43" t="s">
        <v>250</v>
      </c>
      <c r="I46" s="36" t="s">
        <v>43</v>
      </c>
      <c r="J46" s="36">
        <v>1</v>
      </c>
      <c r="K46" s="37">
        <v>43378</v>
      </c>
      <c r="L46" s="37">
        <v>43416</v>
      </c>
      <c r="M46" s="42" t="s">
        <v>44</v>
      </c>
      <c r="N46" s="42" t="s">
        <v>44</v>
      </c>
      <c r="O46" s="42">
        <f t="shared" si="1"/>
        <v>1</v>
      </c>
      <c r="P46" s="42">
        <f t="shared" si="2"/>
        <v>1</v>
      </c>
      <c r="Q46" s="38">
        <f t="shared" si="3"/>
        <v>-38</v>
      </c>
      <c r="R46" s="42">
        <v>0</v>
      </c>
      <c r="S46" s="42">
        <v>0</v>
      </c>
      <c r="T46" s="63">
        <v>0</v>
      </c>
      <c r="U46" s="63">
        <v>0</v>
      </c>
      <c r="V46" s="63">
        <v>0</v>
      </c>
      <c r="W46" s="77">
        <f t="shared" si="0"/>
        <v>0</v>
      </c>
    </row>
    <row r="47" spans="1:26" s="14" customFormat="1" ht="33" customHeight="1" x14ac:dyDescent="0.3">
      <c r="A47" s="74" t="s">
        <v>245</v>
      </c>
      <c r="B47" s="36"/>
      <c r="C47" s="40" t="s">
        <v>272</v>
      </c>
      <c r="D47" s="51" t="s">
        <v>453</v>
      </c>
      <c r="E47" s="36" t="s">
        <v>20</v>
      </c>
      <c r="F47" s="41" t="s">
        <v>258</v>
      </c>
      <c r="G47" s="41" t="s">
        <v>258</v>
      </c>
      <c r="H47" s="43" t="s">
        <v>250</v>
      </c>
      <c r="I47" s="36" t="s">
        <v>44</v>
      </c>
      <c r="J47" s="36">
        <v>1</v>
      </c>
      <c r="K47" s="37">
        <v>42907</v>
      </c>
      <c r="L47" s="37">
        <v>43368</v>
      </c>
      <c r="M47" s="42" t="s">
        <v>44</v>
      </c>
      <c r="N47" s="42" t="s">
        <v>43</v>
      </c>
      <c r="O47" s="42">
        <f t="shared" si="1"/>
        <v>0</v>
      </c>
      <c r="P47" s="42">
        <f t="shared" si="2"/>
        <v>0</v>
      </c>
      <c r="Q47" s="38">
        <f t="shared" si="3"/>
        <v>-461</v>
      </c>
      <c r="R47" s="42">
        <v>0</v>
      </c>
      <c r="S47" s="42">
        <v>10</v>
      </c>
      <c r="T47" s="63">
        <v>0.1</v>
      </c>
      <c r="U47" s="63">
        <v>0</v>
      </c>
      <c r="V47" s="63">
        <v>0</v>
      </c>
      <c r="W47" s="77">
        <f t="shared" si="0"/>
        <v>0.9</v>
      </c>
    </row>
    <row r="48" spans="1:26" s="14" customFormat="1" ht="18.600000000000001" customHeight="1" x14ac:dyDescent="0.3">
      <c r="A48" s="74" t="s">
        <v>246</v>
      </c>
      <c r="B48" s="36"/>
      <c r="C48" s="40" t="s">
        <v>275</v>
      </c>
      <c r="D48" s="51"/>
      <c r="E48" s="36" t="s">
        <v>20</v>
      </c>
      <c r="F48" s="41" t="s">
        <v>273</v>
      </c>
      <c r="G48" s="41" t="s">
        <v>274</v>
      </c>
      <c r="H48" s="43" t="s">
        <v>250</v>
      </c>
      <c r="I48" s="36" t="s">
        <v>44</v>
      </c>
      <c r="J48" s="36">
        <v>1</v>
      </c>
      <c r="K48" s="37">
        <v>43011</v>
      </c>
      <c r="L48" s="37">
        <v>44844</v>
      </c>
      <c r="M48" s="42" t="s">
        <v>43</v>
      </c>
      <c r="N48" s="42" t="s">
        <v>43</v>
      </c>
      <c r="O48" s="42">
        <f t="shared" si="1"/>
        <v>0</v>
      </c>
      <c r="P48" s="42">
        <f t="shared" si="2"/>
        <v>0</v>
      </c>
      <c r="Q48" s="38">
        <f t="shared" si="3"/>
        <v>-1833</v>
      </c>
      <c r="R48" s="42">
        <v>0</v>
      </c>
      <c r="S48" s="42">
        <v>0</v>
      </c>
      <c r="T48" s="63">
        <v>0</v>
      </c>
      <c r="U48" s="63">
        <v>0</v>
      </c>
      <c r="V48" s="63">
        <v>0</v>
      </c>
      <c r="W48" s="77">
        <f t="shared" si="0"/>
        <v>0</v>
      </c>
    </row>
    <row r="49" spans="1:26" s="14" customFormat="1" ht="28.8" customHeight="1" x14ac:dyDescent="0.3">
      <c r="A49" s="76" t="s">
        <v>247</v>
      </c>
      <c r="B49" s="95"/>
      <c r="C49" s="94" t="s">
        <v>409</v>
      </c>
      <c r="D49" s="95" t="s">
        <v>503</v>
      </c>
      <c r="E49" s="46" t="s">
        <v>31</v>
      </c>
      <c r="F49" s="47" t="s">
        <v>172</v>
      </c>
      <c r="G49" s="47" t="s">
        <v>196</v>
      </c>
      <c r="H49" s="49" t="s">
        <v>250</v>
      </c>
      <c r="I49" s="46" t="s">
        <v>43</v>
      </c>
      <c r="J49" s="46">
        <v>1</v>
      </c>
      <c r="K49" s="50">
        <f>L49+365*4</f>
        <v>47390</v>
      </c>
      <c r="L49" s="50">
        <v>45930</v>
      </c>
      <c r="M49" s="48" t="s">
        <v>44</v>
      </c>
      <c r="N49" s="48" t="s">
        <v>44</v>
      </c>
      <c r="O49" s="48">
        <f t="shared" si="1"/>
        <v>1</v>
      </c>
      <c r="P49" s="48">
        <f t="shared" si="2"/>
        <v>1</v>
      </c>
      <c r="Q49" s="48">
        <f t="shared" si="3"/>
        <v>1460</v>
      </c>
      <c r="R49" s="48">
        <v>0</v>
      </c>
      <c r="S49" s="48">
        <v>0</v>
      </c>
      <c r="T49" s="66">
        <v>0</v>
      </c>
      <c r="U49" s="66">
        <v>0</v>
      </c>
      <c r="V49" s="66">
        <v>0</v>
      </c>
      <c r="W49" s="78">
        <f t="shared" si="0"/>
        <v>0</v>
      </c>
      <c r="Z49" s="67"/>
    </row>
    <row r="50" spans="1:26" s="67" customFormat="1" ht="30" customHeight="1" x14ac:dyDescent="0.3">
      <c r="A50" s="76" t="s">
        <v>248</v>
      </c>
      <c r="B50" s="46"/>
      <c r="C50" s="45" t="s">
        <v>413</v>
      </c>
      <c r="D50" s="46"/>
      <c r="E50" s="46" t="s">
        <v>31</v>
      </c>
      <c r="F50" s="47" t="s">
        <v>504</v>
      </c>
      <c r="G50" s="47" t="s">
        <v>196</v>
      </c>
      <c r="H50" s="49" t="s">
        <v>250</v>
      </c>
      <c r="I50" s="46" t="s">
        <v>43</v>
      </c>
      <c r="J50" s="46">
        <v>1</v>
      </c>
      <c r="K50" s="50">
        <f>L50+365*4</f>
        <v>47390</v>
      </c>
      <c r="L50" s="50">
        <v>45930</v>
      </c>
      <c r="M50" s="48" t="s">
        <v>44</v>
      </c>
      <c r="N50" s="48" t="s">
        <v>44</v>
      </c>
      <c r="O50" s="48">
        <f t="shared" si="1"/>
        <v>1</v>
      </c>
      <c r="P50" s="48">
        <f t="shared" si="2"/>
        <v>1</v>
      </c>
      <c r="Q50" s="48">
        <f t="shared" si="3"/>
        <v>1460</v>
      </c>
      <c r="R50" s="48">
        <v>0</v>
      </c>
      <c r="S50" s="48">
        <v>0</v>
      </c>
      <c r="T50" s="66">
        <v>0</v>
      </c>
      <c r="U50" s="66">
        <v>0</v>
      </c>
      <c r="V50" s="66">
        <v>0</v>
      </c>
      <c r="W50" s="78">
        <f t="shared" si="0"/>
        <v>0</v>
      </c>
    </row>
    <row r="51" spans="1:26" s="14" customFormat="1" ht="24" customHeight="1" x14ac:dyDescent="0.3">
      <c r="A51" s="74" t="s">
        <v>415</v>
      </c>
      <c r="B51" s="36"/>
      <c r="C51" s="40" t="s">
        <v>284</v>
      </c>
      <c r="D51" s="51" t="s">
        <v>454</v>
      </c>
      <c r="E51" s="36" t="s">
        <v>3</v>
      </c>
      <c r="F51" s="69" t="s">
        <v>216</v>
      </c>
      <c r="G51" s="71" t="s">
        <v>282</v>
      </c>
      <c r="H51" s="36" t="s">
        <v>283</v>
      </c>
      <c r="I51" s="36" t="s">
        <v>43</v>
      </c>
      <c r="J51" s="36">
        <v>0</v>
      </c>
      <c r="K51" s="70">
        <v>42551</v>
      </c>
      <c r="L51" s="70">
        <v>44845</v>
      </c>
      <c r="M51" s="42" t="s">
        <v>44</v>
      </c>
      <c r="N51" s="42" t="s">
        <v>44</v>
      </c>
      <c r="O51" s="42">
        <f>IF(I51="YES",1,0)</f>
        <v>1</v>
      </c>
      <c r="P51" s="42">
        <f>IF(I51="YES",IF(L51-K51&lt;365,1,0),0)</f>
        <v>0</v>
      </c>
      <c r="Q51" s="42">
        <f t="shared" si="3"/>
        <v>-2294</v>
      </c>
      <c r="R51" s="42">
        <v>2</v>
      </c>
      <c r="S51" s="42">
        <v>6</v>
      </c>
      <c r="T51" s="63">
        <v>0.5</v>
      </c>
      <c r="U51" s="63">
        <v>0</v>
      </c>
      <c r="V51" s="63">
        <v>0</v>
      </c>
      <c r="W51" s="79">
        <f t="shared" si="0"/>
        <v>0.5</v>
      </c>
    </row>
    <row r="52" spans="1:26" ht="31.2" customHeight="1" x14ac:dyDescent="0.3">
      <c r="A52" s="73" t="s">
        <v>414</v>
      </c>
      <c r="B52" s="34"/>
      <c r="C52" s="33" t="s">
        <v>286</v>
      </c>
      <c r="D52" s="44" t="s">
        <v>455</v>
      </c>
      <c r="E52" s="34" t="s">
        <v>6</v>
      </c>
      <c r="F52" s="62" t="s">
        <v>184</v>
      </c>
      <c r="G52" s="53" t="s">
        <v>285</v>
      </c>
      <c r="H52" s="34" t="s">
        <v>283</v>
      </c>
      <c r="I52" s="34" t="s">
        <v>43</v>
      </c>
      <c r="J52" s="34">
        <v>1</v>
      </c>
      <c r="K52" s="37">
        <v>42094</v>
      </c>
      <c r="L52" s="37">
        <v>41515</v>
      </c>
      <c r="M52" s="38" t="s">
        <v>44</v>
      </c>
      <c r="N52" s="38" t="s">
        <v>44</v>
      </c>
      <c r="O52" s="42">
        <f>IF(I52="YES",1,0)</f>
        <v>1</v>
      </c>
      <c r="P52" s="42">
        <f>IF(I52="YES",IF(L52-K52&lt;365,1,0),0)</f>
        <v>1</v>
      </c>
      <c r="Q52" s="38">
        <f t="shared" si="3"/>
        <v>579</v>
      </c>
      <c r="R52" s="42">
        <v>0</v>
      </c>
      <c r="S52" s="42">
        <v>20</v>
      </c>
      <c r="T52" s="63">
        <v>0</v>
      </c>
      <c r="U52" s="63">
        <v>0</v>
      </c>
      <c r="V52" s="63">
        <v>0.188</v>
      </c>
      <c r="W52" s="77">
        <f t="shared" si="0"/>
        <v>0.81200000000000006</v>
      </c>
    </row>
    <row r="53" spans="1:26" s="14" customFormat="1" ht="34.799999999999997" customHeight="1" x14ac:dyDescent="0.3">
      <c r="A53" s="74" t="s">
        <v>416</v>
      </c>
      <c r="B53" s="36"/>
      <c r="C53" s="40" t="s">
        <v>287</v>
      </c>
      <c r="D53" s="51" t="s">
        <v>456</v>
      </c>
      <c r="E53" s="36" t="s">
        <v>6</v>
      </c>
      <c r="F53" s="69" t="s">
        <v>288</v>
      </c>
      <c r="G53" s="41" t="s">
        <v>289</v>
      </c>
      <c r="H53" s="36" t="s">
        <v>283</v>
      </c>
      <c r="I53" s="36" t="s">
        <v>44</v>
      </c>
      <c r="J53" s="36">
        <v>0</v>
      </c>
      <c r="K53" s="70">
        <v>37979</v>
      </c>
      <c r="L53" s="70">
        <v>38050</v>
      </c>
      <c r="M53" s="42" t="s">
        <v>43</v>
      </c>
      <c r="N53" s="42" t="s">
        <v>44</v>
      </c>
      <c r="O53" s="42">
        <f>IF(I53="YES",1,0)</f>
        <v>0</v>
      </c>
      <c r="P53" s="42">
        <f>IF(I53="YES",IF(L53-K53&lt;365,1,0),0)</f>
        <v>0</v>
      </c>
      <c r="Q53" s="42">
        <f t="shared" si="3"/>
        <v>-71</v>
      </c>
      <c r="R53" s="42">
        <v>2</v>
      </c>
      <c r="S53" s="42">
        <v>18</v>
      </c>
      <c r="T53" s="63">
        <v>0.154</v>
      </c>
      <c r="U53" s="63">
        <v>7.6999999999999999E-2</v>
      </c>
      <c r="V53" s="63">
        <v>0.46200000000000002</v>
      </c>
      <c r="W53" s="79">
        <f t="shared" si="0"/>
        <v>0.30699999999999994</v>
      </c>
    </row>
    <row r="54" spans="1:26" s="14" customFormat="1" ht="17.399999999999999" customHeight="1" x14ac:dyDescent="0.3">
      <c r="A54" s="74" t="s">
        <v>417</v>
      </c>
      <c r="B54" s="36"/>
      <c r="C54" s="40" t="s">
        <v>292</v>
      </c>
      <c r="D54" s="51" t="s">
        <v>432</v>
      </c>
      <c r="E54" s="36" t="s">
        <v>6</v>
      </c>
      <c r="F54" s="41" t="s">
        <v>290</v>
      </c>
      <c r="G54" s="71" t="s">
        <v>291</v>
      </c>
      <c r="H54" s="36" t="s">
        <v>283</v>
      </c>
      <c r="I54" s="36" t="s">
        <v>44</v>
      </c>
      <c r="J54" s="36">
        <v>1</v>
      </c>
      <c r="K54" s="70">
        <v>37069</v>
      </c>
      <c r="L54" s="70">
        <v>38582</v>
      </c>
      <c r="M54" s="42" t="s">
        <v>43</v>
      </c>
      <c r="N54" s="42" t="s">
        <v>44</v>
      </c>
      <c r="O54" s="42">
        <f>IF(I54="YES",1,0)</f>
        <v>0</v>
      </c>
      <c r="P54" s="42">
        <f>IF(I54="YES",IF(L54-K54&lt;365,1,0),0)</f>
        <v>0</v>
      </c>
      <c r="Q54" s="42">
        <f t="shared" si="3"/>
        <v>-1513</v>
      </c>
      <c r="R54" s="42">
        <v>0</v>
      </c>
      <c r="S54" s="42">
        <v>26</v>
      </c>
      <c r="T54" s="63">
        <v>0</v>
      </c>
      <c r="U54" s="63">
        <v>0.16700000000000001</v>
      </c>
      <c r="V54" s="63">
        <v>0.38900000000000001</v>
      </c>
      <c r="W54" s="79">
        <f t="shared" si="0"/>
        <v>0.44399999999999995</v>
      </c>
    </row>
    <row r="55" spans="1:26" ht="17.399999999999999" customHeight="1" x14ac:dyDescent="0.3">
      <c r="A55" s="73" t="s">
        <v>418</v>
      </c>
      <c r="B55" s="34"/>
      <c r="C55" s="33" t="s">
        <v>293</v>
      </c>
      <c r="D55" s="44" t="s">
        <v>457</v>
      </c>
      <c r="E55" s="34" t="s">
        <v>6</v>
      </c>
      <c r="F55" s="62" t="s">
        <v>294</v>
      </c>
      <c r="G55" s="53" t="s">
        <v>295</v>
      </c>
      <c r="H55" s="34" t="s">
        <v>283</v>
      </c>
      <c r="I55" s="34" t="s">
        <v>44</v>
      </c>
      <c r="J55" s="34">
        <v>0</v>
      </c>
      <c r="K55" s="37">
        <v>39741</v>
      </c>
      <c r="L55" s="37">
        <v>45658</v>
      </c>
      <c r="M55" s="38"/>
      <c r="N55" s="38" t="s">
        <v>44</v>
      </c>
      <c r="O55" s="42">
        <f t="shared" ref="O55:O60" si="4">IF(I55="YES",1,0)</f>
        <v>0</v>
      </c>
      <c r="P55" s="42">
        <f t="shared" ref="P55:P60" si="5">IF(I55="YES",IF(L55-K55&lt;365,1,0),0)</f>
        <v>0</v>
      </c>
      <c r="Q55" s="38">
        <f t="shared" si="3"/>
        <v>-5917</v>
      </c>
      <c r="R55" s="42">
        <v>6</v>
      </c>
      <c r="S55" s="42">
        <v>24</v>
      </c>
      <c r="T55" s="63">
        <v>0.26700000000000002</v>
      </c>
      <c r="U55" s="63">
        <v>6.7000000000000004E-2</v>
      </c>
      <c r="V55" s="63">
        <v>0.4</v>
      </c>
      <c r="W55" s="77">
        <f t="shared" si="0"/>
        <v>0.26600000000000001</v>
      </c>
    </row>
    <row r="56" spans="1:26" ht="18.600000000000001" customHeight="1" x14ac:dyDescent="0.3">
      <c r="A56" s="73" t="s">
        <v>419</v>
      </c>
      <c r="B56" s="34"/>
      <c r="C56" s="33" t="s">
        <v>297</v>
      </c>
      <c r="D56" s="44" t="s">
        <v>458</v>
      </c>
      <c r="E56" s="34" t="s">
        <v>6</v>
      </c>
      <c r="F56" s="62" t="s">
        <v>296</v>
      </c>
      <c r="G56" s="53" t="s">
        <v>289</v>
      </c>
      <c r="H56" s="34" t="s">
        <v>283</v>
      </c>
      <c r="I56" s="34" t="s">
        <v>44</v>
      </c>
      <c r="J56" s="34">
        <v>0</v>
      </c>
      <c r="K56" s="37">
        <v>38096</v>
      </c>
      <c r="L56" s="37">
        <v>44669</v>
      </c>
      <c r="M56" s="38" t="s">
        <v>43</v>
      </c>
      <c r="N56" s="38" t="s">
        <v>44</v>
      </c>
      <c r="O56" s="42">
        <f t="shared" si="4"/>
        <v>0</v>
      </c>
      <c r="P56" s="42">
        <f t="shared" si="5"/>
        <v>0</v>
      </c>
      <c r="Q56" s="38">
        <f t="shared" si="3"/>
        <v>-6573</v>
      </c>
      <c r="R56" s="42">
        <v>1</v>
      </c>
      <c r="S56" s="42">
        <v>8</v>
      </c>
      <c r="T56" s="63">
        <v>0.16700000000000001</v>
      </c>
      <c r="U56" s="63">
        <v>0.5</v>
      </c>
      <c r="V56" s="63">
        <v>0.33300000000000002</v>
      </c>
      <c r="W56" s="77">
        <f t="shared" si="0"/>
        <v>0</v>
      </c>
    </row>
    <row r="57" spans="1:26" ht="19.2" customHeight="1" x14ac:dyDescent="0.3">
      <c r="A57" s="73" t="s">
        <v>420</v>
      </c>
      <c r="B57" s="34"/>
      <c r="C57" s="33" t="s">
        <v>298</v>
      </c>
      <c r="D57" s="44" t="s">
        <v>459</v>
      </c>
      <c r="E57" s="34" t="s">
        <v>6</v>
      </c>
      <c r="F57" s="62" t="s">
        <v>299</v>
      </c>
      <c r="G57" s="53" t="s">
        <v>300</v>
      </c>
      <c r="H57" s="34" t="s">
        <v>283</v>
      </c>
      <c r="I57" s="34" t="s">
        <v>44</v>
      </c>
      <c r="J57" s="34">
        <v>0</v>
      </c>
      <c r="K57" s="37">
        <v>38009</v>
      </c>
      <c r="L57" s="37">
        <v>45532</v>
      </c>
      <c r="M57" s="38"/>
      <c r="N57" s="38"/>
      <c r="O57" s="42">
        <f t="shared" si="4"/>
        <v>0</v>
      </c>
      <c r="P57" s="42">
        <f t="shared" si="5"/>
        <v>0</v>
      </c>
      <c r="Q57" s="38">
        <f t="shared" si="3"/>
        <v>-7523</v>
      </c>
      <c r="R57" s="42">
        <v>0</v>
      </c>
      <c r="S57" s="42">
        <v>5</v>
      </c>
      <c r="T57" s="63">
        <v>0</v>
      </c>
      <c r="U57" s="63">
        <v>0</v>
      </c>
      <c r="V57" s="63">
        <v>1</v>
      </c>
      <c r="W57" s="77">
        <f t="shared" si="0"/>
        <v>0</v>
      </c>
    </row>
    <row r="58" spans="1:26" ht="39.6" customHeight="1" x14ac:dyDescent="0.3">
      <c r="A58" s="73" t="s">
        <v>421</v>
      </c>
      <c r="B58" s="54"/>
      <c r="C58" s="33" t="s">
        <v>302</v>
      </c>
      <c r="D58" s="44" t="s">
        <v>460</v>
      </c>
      <c r="E58" s="34" t="s">
        <v>3</v>
      </c>
      <c r="F58" s="62" t="s">
        <v>262</v>
      </c>
      <c r="G58" s="53" t="s">
        <v>301</v>
      </c>
      <c r="H58" s="34" t="s">
        <v>283</v>
      </c>
      <c r="I58" s="34" t="s">
        <v>43</v>
      </c>
      <c r="J58" s="34">
        <v>1</v>
      </c>
      <c r="K58" s="37">
        <v>42551</v>
      </c>
      <c r="L58" s="37">
        <v>39407</v>
      </c>
      <c r="M58" s="38"/>
      <c r="N58" s="38"/>
      <c r="O58" s="42">
        <f t="shared" si="4"/>
        <v>1</v>
      </c>
      <c r="P58" s="42">
        <f t="shared" si="5"/>
        <v>1</v>
      </c>
      <c r="Q58" s="38">
        <f t="shared" si="3"/>
        <v>3144</v>
      </c>
      <c r="R58" s="42">
        <v>0</v>
      </c>
      <c r="S58" s="42">
        <v>13</v>
      </c>
      <c r="T58" s="63">
        <v>0.5</v>
      </c>
      <c r="U58" s="63">
        <v>0</v>
      </c>
      <c r="V58" s="63">
        <v>0.5</v>
      </c>
      <c r="W58" s="77">
        <f t="shared" si="0"/>
        <v>0</v>
      </c>
    </row>
    <row r="59" spans="1:26" s="14" customFormat="1" ht="27" customHeight="1" x14ac:dyDescent="0.3">
      <c r="A59" s="74" t="s">
        <v>422</v>
      </c>
      <c r="B59" s="97" t="s">
        <v>303</v>
      </c>
      <c r="C59" s="97" t="s">
        <v>496</v>
      </c>
      <c r="D59" s="97" t="s">
        <v>461</v>
      </c>
      <c r="E59" s="36" t="s">
        <v>3</v>
      </c>
      <c r="F59" s="41" t="s">
        <v>497</v>
      </c>
      <c r="G59" s="41" t="s">
        <v>493</v>
      </c>
      <c r="H59" s="36" t="s">
        <v>283</v>
      </c>
      <c r="I59" s="36" t="s">
        <v>43</v>
      </c>
      <c r="J59" s="36">
        <v>0</v>
      </c>
      <c r="K59" s="70">
        <v>40542</v>
      </c>
      <c r="L59" s="70">
        <v>35478</v>
      </c>
      <c r="M59" s="42"/>
      <c r="N59" s="42"/>
      <c r="O59" s="42">
        <f t="shared" si="4"/>
        <v>1</v>
      </c>
      <c r="P59" s="42">
        <f t="shared" si="5"/>
        <v>1</v>
      </c>
      <c r="Q59" s="42">
        <f t="shared" si="3"/>
        <v>5064</v>
      </c>
      <c r="R59" s="42">
        <v>0</v>
      </c>
      <c r="S59" s="42">
        <v>1</v>
      </c>
      <c r="T59" s="63">
        <v>0</v>
      </c>
      <c r="U59" s="63">
        <v>0</v>
      </c>
      <c r="V59" s="63">
        <v>0</v>
      </c>
      <c r="W59" s="79">
        <f t="shared" si="0"/>
        <v>1</v>
      </c>
      <c r="Z59"/>
    </row>
    <row r="60" spans="1:26" s="14" customFormat="1" ht="48" customHeight="1" x14ac:dyDescent="0.3">
      <c r="A60" s="74" t="s">
        <v>423</v>
      </c>
      <c r="B60" s="97" t="s">
        <v>304</v>
      </c>
      <c r="C60" s="97" t="s">
        <v>434</v>
      </c>
      <c r="D60" s="97" t="s">
        <v>437</v>
      </c>
      <c r="E60" s="36" t="s">
        <v>3</v>
      </c>
      <c r="F60" s="41" t="s">
        <v>499</v>
      </c>
      <c r="G60" s="41" t="s">
        <v>498</v>
      </c>
      <c r="H60" s="36" t="s">
        <v>283</v>
      </c>
      <c r="I60" s="36" t="s">
        <v>44</v>
      </c>
      <c r="J60" s="36">
        <v>0</v>
      </c>
      <c r="K60" s="70">
        <v>41774</v>
      </c>
      <c r="L60" s="70">
        <v>44144</v>
      </c>
      <c r="M60" s="42" t="s">
        <v>43</v>
      </c>
      <c r="N60" s="42" t="s">
        <v>44</v>
      </c>
      <c r="O60" s="42">
        <f t="shared" si="4"/>
        <v>0</v>
      </c>
      <c r="P60" s="42">
        <f t="shared" si="5"/>
        <v>0</v>
      </c>
      <c r="Q60" s="42">
        <f t="shared" si="3"/>
        <v>-2370</v>
      </c>
      <c r="R60" s="42">
        <v>0</v>
      </c>
      <c r="S60" s="42">
        <v>1</v>
      </c>
      <c r="T60" s="63">
        <v>0</v>
      </c>
      <c r="U60" s="63">
        <v>0</v>
      </c>
      <c r="V60" s="63">
        <v>0</v>
      </c>
      <c r="W60" s="79">
        <f t="shared" si="0"/>
        <v>1</v>
      </c>
      <c r="Z60"/>
    </row>
    <row r="61" spans="1:26" ht="34.200000000000003" customHeight="1" x14ac:dyDescent="0.3">
      <c r="A61" s="73" t="s">
        <v>424</v>
      </c>
      <c r="B61" s="54"/>
      <c r="C61" s="33" t="s">
        <v>306</v>
      </c>
      <c r="D61" s="44"/>
      <c r="E61" s="34" t="s">
        <v>3</v>
      </c>
      <c r="F61" s="35" t="s">
        <v>305</v>
      </c>
      <c r="G61" s="35" t="s">
        <v>305</v>
      </c>
      <c r="H61" s="34" t="s">
        <v>283</v>
      </c>
      <c r="I61" s="34" t="s">
        <v>44</v>
      </c>
      <c r="J61" s="34">
        <v>0</v>
      </c>
      <c r="K61" s="37">
        <v>42653</v>
      </c>
      <c r="L61" s="37">
        <v>44917</v>
      </c>
      <c r="M61" s="38" t="s">
        <v>44</v>
      </c>
      <c r="N61" s="38" t="s">
        <v>43</v>
      </c>
      <c r="O61" s="42">
        <f>IF(I61="YES",1,0)</f>
        <v>0</v>
      </c>
      <c r="P61" s="42">
        <f>IF(I61="YES",IF(L61-K61&lt;365,1,0),0)</f>
        <v>0</v>
      </c>
      <c r="Q61" s="38">
        <f t="shared" si="3"/>
        <v>-2264</v>
      </c>
      <c r="R61" s="42">
        <v>0</v>
      </c>
      <c r="S61" s="42">
        <v>0</v>
      </c>
      <c r="T61" s="63">
        <v>0</v>
      </c>
      <c r="U61" s="63">
        <v>0</v>
      </c>
      <c r="V61" s="63">
        <v>0</v>
      </c>
      <c r="W61" s="77">
        <f t="shared" si="0"/>
        <v>0</v>
      </c>
    </row>
    <row r="62" spans="1:26" s="14" customFormat="1" ht="17.399999999999999" customHeight="1" x14ac:dyDescent="0.3">
      <c r="A62" s="74" t="s">
        <v>425</v>
      </c>
      <c r="B62" s="36"/>
      <c r="C62" s="40" t="s">
        <v>309</v>
      </c>
      <c r="D62" s="51"/>
      <c r="E62" s="36" t="s">
        <v>20</v>
      </c>
      <c r="F62" s="111" t="s">
        <v>307</v>
      </c>
      <c r="G62" s="111" t="s">
        <v>308</v>
      </c>
      <c r="H62" s="36" t="s">
        <v>283</v>
      </c>
      <c r="I62" s="36" t="s">
        <v>44</v>
      </c>
      <c r="J62" s="36">
        <v>1</v>
      </c>
      <c r="K62" s="70">
        <v>39678</v>
      </c>
      <c r="L62" s="70">
        <v>40422</v>
      </c>
      <c r="M62" s="42" t="s">
        <v>44</v>
      </c>
      <c r="N62" s="42" t="s">
        <v>44</v>
      </c>
      <c r="O62" s="42">
        <f>IF(I62="YES",1,0)</f>
        <v>0</v>
      </c>
      <c r="P62" s="42">
        <f>IF(I62="YES",IF(L62-K62&lt;365,1,0),0)</f>
        <v>0</v>
      </c>
      <c r="Q62" s="42">
        <f t="shared" si="3"/>
        <v>-744</v>
      </c>
      <c r="R62" s="42">
        <v>0</v>
      </c>
      <c r="S62" s="42">
        <v>0</v>
      </c>
      <c r="T62" s="63">
        <v>0</v>
      </c>
      <c r="U62" s="63">
        <v>0</v>
      </c>
      <c r="V62" s="63">
        <v>0</v>
      </c>
      <c r="W62" s="79">
        <f t="shared" si="0"/>
        <v>0</v>
      </c>
    </row>
    <row r="63" spans="1:26" ht="21.6" customHeight="1" x14ac:dyDescent="0.3">
      <c r="A63" s="73" t="s">
        <v>426</v>
      </c>
      <c r="B63" s="34"/>
      <c r="C63" s="33" t="s">
        <v>312</v>
      </c>
      <c r="D63" s="44" t="s">
        <v>462</v>
      </c>
      <c r="E63" s="34" t="s">
        <v>20</v>
      </c>
      <c r="F63" s="35" t="s">
        <v>310</v>
      </c>
      <c r="G63" s="35" t="s">
        <v>311</v>
      </c>
      <c r="H63" s="34" t="s">
        <v>283</v>
      </c>
      <c r="I63" s="34" t="s">
        <v>44</v>
      </c>
      <c r="J63" s="34">
        <v>1</v>
      </c>
      <c r="K63" s="37">
        <v>43185</v>
      </c>
      <c r="L63" s="37">
        <v>46030</v>
      </c>
      <c r="M63" s="38" t="s">
        <v>43</v>
      </c>
      <c r="N63" s="38" t="s">
        <v>44</v>
      </c>
      <c r="O63" s="42">
        <f t="shared" ref="O63:O84" si="6">IF(I63="YES",1,0)</f>
        <v>0</v>
      </c>
      <c r="P63" s="42">
        <f t="shared" ref="P63:P84" si="7">IF(I63="YES",IF(L63-K63&lt;365,1,0),0)</f>
        <v>0</v>
      </c>
      <c r="Q63" s="38">
        <f t="shared" si="3"/>
        <v>-2845</v>
      </c>
      <c r="R63" s="42">
        <v>0</v>
      </c>
      <c r="S63" s="42">
        <v>2</v>
      </c>
      <c r="T63" s="63">
        <v>0</v>
      </c>
      <c r="U63" s="63">
        <v>0</v>
      </c>
      <c r="V63" s="63">
        <v>1</v>
      </c>
      <c r="W63" s="77">
        <f t="shared" si="0"/>
        <v>0</v>
      </c>
    </row>
    <row r="64" spans="1:26" ht="25.8" customHeight="1" x14ac:dyDescent="0.3">
      <c r="A64" s="73" t="s">
        <v>427</v>
      </c>
      <c r="B64" s="34"/>
      <c r="C64" s="33" t="s">
        <v>313</v>
      </c>
      <c r="D64" s="44" t="s">
        <v>463</v>
      </c>
      <c r="E64" s="34" t="s">
        <v>20</v>
      </c>
      <c r="F64" s="62" t="s">
        <v>213</v>
      </c>
      <c r="G64" s="53" t="s">
        <v>314</v>
      </c>
      <c r="H64" s="34" t="s">
        <v>283</v>
      </c>
      <c r="I64" s="34" t="s">
        <v>43</v>
      </c>
      <c r="J64" s="34">
        <v>0</v>
      </c>
      <c r="K64" s="37">
        <v>44540</v>
      </c>
      <c r="L64" s="37">
        <v>43546</v>
      </c>
      <c r="M64" s="38" t="s">
        <v>44</v>
      </c>
      <c r="N64" s="38" t="s">
        <v>44</v>
      </c>
      <c r="O64" s="42">
        <f t="shared" si="6"/>
        <v>1</v>
      </c>
      <c r="P64" s="42">
        <f t="shared" si="7"/>
        <v>1</v>
      </c>
      <c r="Q64" s="38">
        <f t="shared" si="3"/>
        <v>994</v>
      </c>
      <c r="R64" s="42">
        <v>0</v>
      </c>
      <c r="S64" s="42">
        <v>4</v>
      </c>
      <c r="T64" s="63">
        <v>0.75</v>
      </c>
      <c r="U64" s="63">
        <v>0</v>
      </c>
      <c r="V64" s="63">
        <v>0</v>
      </c>
      <c r="W64" s="77">
        <f t="shared" si="0"/>
        <v>0.25</v>
      </c>
    </row>
    <row r="65" spans="1:26" ht="28.2" customHeight="1" x14ac:dyDescent="0.3">
      <c r="A65" s="73" t="s">
        <v>428</v>
      </c>
      <c r="B65" s="34"/>
      <c r="C65" s="33" t="s">
        <v>317</v>
      </c>
      <c r="D65" s="44" t="s">
        <v>464</v>
      </c>
      <c r="E65" s="34" t="s">
        <v>20</v>
      </c>
      <c r="F65" s="35" t="s">
        <v>315</v>
      </c>
      <c r="G65" s="35" t="s">
        <v>316</v>
      </c>
      <c r="H65" s="34" t="s">
        <v>283</v>
      </c>
      <c r="I65" s="34" t="s">
        <v>43</v>
      </c>
      <c r="J65" s="34">
        <v>0</v>
      </c>
      <c r="K65" s="37">
        <v>42901</v>
      </c>
      <c r="L65" s="37">
        <v>44685</v>
      </c>
      <c r="M65" s="38" t="s">
        <v>44</v>
      </c>
      <c r="N65" s="38" t="s">
        <v>44</v>
      </c>
      <c r="O65" s="42">
        <f t="shared" si="6"/>
        <v>1</v>
      </c>
      <c r="P65" s="42">
        <f t="shared" si="7"/>
        <v>0</v>
      </c>
      <c r="Q65" s="38">
        <f t="shared" si="3"/>
        <v>-1784</v>
      </c>
      <c r="R65" s="42">
        <v>0</v>
      </c>
      <c r="S65" s="42">
        <v>7</v>
      </c>
      <c r="T65" s="63">
        <v>0</v>
      </c>
      <c r="U65" s="63">
        <v>0</v>
      </c>
      <c r="V65" s="63">
        <v>1</v>
      </c>
      <c r="W65" s="77">
        <f t="shared" si="0"/>
        <v>0</v>
      </c>
    </row>
    <row r="66" spans="1:26" ht="21.6" customHeight="1" x14ac:dyDescent="0.3">
      <c r="A66" s="73" t="s">
        <v>429</v>
      </c>
      <c r="B66" s="34"/>
      <c r="C66" s="33" t="s">
        <v>318</v>
      </c>
      <c r="D66" s="44"/>
      <c r="E66" s="34" t="s">
        <v>20</v>
      </c>
      <c r="F66" s="35" t="s">
        <v>181</v>
      </c>
      <c r="G66" s="35" t="s">
        <v>319</v>
      </c>
      <c r="H66" s="34" t="s">
        <v>283</v>
      </c>
      <c r="I66" s="34" t="s">
        <v>43</v>
      </c>
      <c r="J66" s="34">
        <v>1</v>
      </c>
      <c r="K66" s="37">
        <v>42860</v>
      </c>
      <c r="L66" s="37">
        <v>44508</v>
      </c>
      <c r="M66" s="38" t="s">
        <v>44</v>
      </c>
      <c r="N66" s="38" t="s">
        <v>44</v>
      </c>
      <c r="O66" s="42">
        <f t="shared" si="6"/>
        <v>1</v>
      </c>
      <c r="P66" s="42">
        <f t="shared" si="7"/>
        <v>0</v>
      </c>
      <c r="Q66" s="38">
        <f t="shared" si="3"/>
        <v>-1648</v>
      </c>
      <c r="R66" s="42">
        <v>0</v>
      </c>
      <c r="S66" s="42">
        <v>0</v>
      </c>
      <c r="T66" s="63">
        <v>0</v>
      </c>
      <c r="U66" s="63">
        <v>0</v>
      </c>
      <c r="V66" s="63">
        <v>0</v>
      </c>
      <c r="W66" s="77">
        <f t="shared" si="0"/>
        <v>0</v>
      </c>
    </row>
    <row r="67" spans="1:26" ht="26.4" customHeight="1" x14ac:dyDescent="0.3">
      <c r="A67" s="73" t="s">
        <v>430</v>
      </c>
      <c r="B67" s="34"/>
      <c r="C67" s="33" t="s">
        <v>321</v>
      </c>
      <c r="D67" s="44" t="s">
        <v>438</v>
      </c>
      <c r="E67" s="34" t="s">
        <v>31</v>
      </c>
      <c r="F67" s="62" t="s">
        <v>184</v>
      </c>
      <c r="G67" s="53" t="s">
        <v>320</v>
      </c>
      <c r="H67" s="34" t="s">
        <v>283</v>
      </c>
      <c r="I67" s="34" t="s">
        <v>43</v>
      </c>
      <c r="J67" s="34">
        <v>0</v>
      </c>
      <c r="K67" s="37">
        <v>45575</v>
      </c>
      <c r="L67" s="37">
        <v>45551</v>
      </c>
      <c r="M67" s="38" t="s">
        <v>44</v>
      </c>
      <c r="N67" s="38" t="s">
        <v>44</v>
      </c>
      <c r="O67" s="42">
        <f t="shared" si="6"/>
        <v>1</v>
      </c>
      <c r="P67" s="42">
        <f t="shared" si="7"/>
        <v>1</v>
      </c>
      <c r="Q67" s="38">
        <f t="shared" si="3"/>
        <v>24</v>
      </c>
      <c r="R67" s="42">
        <v>0</v>
      </c>
      <c r="S67" s="42">
        <v>3</v>
      </c>
      <c r="T67" s="63">
        <v>0</v>
      </c>
      <c r="U67" s="63">
        <v>0</v>
      </c>
      <c r="V67" s="63">
        <v>0.33300000000000002</v>
      </c>
      <c r="W67" s="77">
        <f t="shared" ref="W67:W85" si="8">IF(S67&gt;0,1-(T67+U67+V67),0)</f>
        <v>0.66700000000000004</v>
      </c>
    </row>
    <row r="68" spans="1:26" s="14" customFormat="1" ht="25.2" customHeight="1" x14ac:dyDescent="0.3">
      <c r="A68" s="76" t="s">
        <v>431</v>
      </c>
      <c r="B68" s="95"/>
      <c r="C68" s="94" t="s">
        <v>322</v>
      </c>
      <c r="D68" s="94" t="s">
        <v>503</v>
      </c>
      <c r="E68" s="46" t="s">
        <v>31</v>
      </c>
      <c r="F68" s="47" t="s">
        <v>172</v>
      </c>
      <c r="G68" s="47" t="s">
        <v>196</v>
      </c>
      <c r="H68" s="46" t="s">
        <v>283</v>
      </c>
      <c r="I68" s="46" t="s">
        <v>43</v>
      </c>
      <c r="J68" s="46">
        <v>1</v>
      </c>
      <c r="K68" s="50" t="s">
        <v>406</v>
      </c>
      <c r="L68" s="50">
        <v>40339</v>
      </c>
      <c r="M68" s="48" t="s">
        <v>44</v>
      </c>
      <c r="N68" s="48" t="s">
        <v>44</v>
      </c>
      <c r="O68" s="48">
        <f t="shared" si="6"/>
        <v>1</v>
      </c>
      <c r="P68" s="48">
        <v>1</v>
      </c>
      <c r="Q68" s="48" t="e">
        <f>K68-L68</f>
        <v>#VALUE!</v>
      </c>
      <c r="R68" s="48">
        <v>0</v>
      </c>
      <c r="S68" s="48">
        <v>0</v>
      </c>
      <c r="T68" s="66">
        <v>0</v>
      </c>
      <c r="U68" s="66">
        <v>0</v>
      </c>
      <c r="V68" s="66">
        <v>0</v>
      </c>
      <c r="W68" s="78">
        <f t="shared" si="8"/>
        <v>0</v>
      </c>
      <c r="Z68" s="67"/>
    </row>
    <row r="69" spans="1:26" s="15" customFormat="1" ht="30.6" customHeight="1" x14ac:dyDescent="0.3">
      <c r="A69" s="72" t="s">
        <v>345</v>
      </c>
      <c r="B69" s="31"/>
      <c r="C69" s="55" t="s">
        <v>328</v>
      </c>
      <c r="D69" s="30" t="s">
        <v>467</v>
      </c>
      <c r="E69" s="31" t="s">
        <v>3</v>
      </c>
      <c r="F69" s="61" t="s">
        <v>347</v>
      </c>
      <c r="G69" s="52" t="s">
        <v>189</v>
      </c>
      <c r="H69" s="31" t="s">
        <v>346</v>
      </c>
      <c r="I69" s="31" t="s">
        <v>43</v>
      </c>
      <c r="J69" s="31">
        <v>1</v>
      </c>
      <c r="K69" s="59">
        <v>42205</v>
      </c>
      <c r="L69" s="59">
        <v>37224</v>
      </c>
      <c r="M69" s="32" t="s">
        <v>44</v>
      </c>
      <c r="N69" s="32" t="s">
        <v>44</v>
      </c>
      <c r="O69" s="32">
        <f t="shared" si="6"/>
        <v>1</v>
      </c>
      <c r="P69" s="32">
        <f t="shared" si="7"/>
        <v>1</v>
      </c>
      <c r="Q69" s="38">
        <f t="shared" ref="Q68:Q84" si="9">K69-L69</f>
        <v>4981</v>
      </c>
      <c r="R69" s="32">
        <v>0</v>
      </c>
      <c r="S69" s="42">
        <v>14</v>
      </c>
      <c r="T69" s="63">
        <v>0</v>
      </c>
      <c r="U69" s="63">
        <v>0</v>
      </c>
      <c r="V69" s="63">
        <v>1</v>
      </c>
      <c r="W69" s="77">
        <f t="shared" si="8"/>
        <v>0</v>
      </c>
    </row>
    <row r="70" spans="1:26" ht="20.399999999999999" customHeight="1" x14ac:dyDescent="0.3">
      <c r="A70" s="73" t="s">
        <v>330</v>
      </c>
      <c r="B70" s="34"/>
      <c r="C70" s="33" t="s">
        <v>350</v>
      </c>
      <c r="D70" s="33" t="s">
        <v>468</v>
      </c>
      <c r="E70" s="34" t="s">
        <v>6</v>
      </c>
      <c r="F70" s="62" t="s">
        <v>348</v>
      </c>
      <c r="G70" s="53" t="s">
        <v>349</v>
      </c>
      <c r="H70" s="34" t="s">
        <v>346</v>
      </c>
      <c r="I70" s="34" t="s">
        <v>44</v>
      </c>
      <c r="J70" s="34">
        <v>1</v>
      </c>
      <c r="K70" s="39">
        <v>34140</v>
      </c>
      <c r="L70" s="39">
        <v>40525</v>
      </c>
      <c r="M70" s="38" t="s">
        <v>43</v>
      </c>
      <c r="N70" s="38" t="s">
        <v>44</v>
      </c>
      <c r="O70" s="42">
        <f t="shared" si="6"/>
        <v>0</v>
      </c>
      <c r="P70" s="42">
        <f t="shared" si="7"/>
        <v>0</v>
      </c>
      <c r="Q70" s="38">
        <f t="shared" si="9"/>
        <v>-6385</v>
      </c>
      <c r="R70" s="42">
        <v>21</v>
      </c>
      <c r="S70" s="42">
        <v>98</v>
      </c>
      <c r="T70" s="63">
        <v>0.63</v>
      </c>
      <c r="U70" s="63">
        <v>0.13</v>
      </c>
      <c r="V70" s="63">
        <v>0.217</v>
      </c>
      <c r="W70" s="77">
        <f t="shared" si="8"/>
        <v>2.300000000000002E-2</v>
      </c>
    </row>
    <row r="71" spans="1:26" ht="27.6" customHeight="1" x14ac:dyDescent="0.3">
      <c r="A71" s="73" t="s">
        <v>331</v>
      </c>
      <c r="B71" s="34"/>
      <c r="C71" s="33" t="s">
        <v>351</v>
      </c>
      <c r="D71" s="33" t="s">
        <v>469</v>
      </c>
      <c r="E71" s="34" t="s">
        <v>6</v>
      </c>
      <c r="F71" s="35" t="s">
        <v>353</v>
      </c>
      <c r="G71" s="35" t="s">
        <v>354</v>
      </c>
      <c r="H71" s="34" t="s">
        <v>346</v>
      </c>
      <c r="I71" s="34" t="s">
        <v>44</v>
      </c>
      <c r="J71" s="34">
        <v>1</v>
      </c>
      <c r="K71" s="39">
        <v>33940</v>
      </c>
      <c r="L71" s="39">
        <v>43630</v>
      </c>
      <c r="M71" s="38" t="s">
        <v>44</v>
      </c>
      <c r="N71" s="38" t="s">
        <v>44</v>
      </c>
      <c r="O71" s="42">
        <f t="shared" si="6"/>
        <v>0</v>
      </c>
      <c r="P71" s="42">
        <f t="shared" si="7"/>
        <v>0</v>
      </c>
      <c r="Q71" s="38">
        <f t="shared" si="9"/>
        <v>-9690</v>
      </c>
      <c r="R71" s="42">
        <v>1</v>
      </c>
      <c r="S71" s="42">
        <v>34</v>
      </c>
      <c r="T71" s="63">
        <v>0.56699999999999995</v>
      </c>
      <c r="U71" s="63">
        <v>0.23300000000000001</v>
      </c>
      <c r="V71" s="63">
        <v>0.2</v>
      </c>
      <c r="W71" s="77">
        <f t="shared" si="8"/>
        <v>0</v>
      </c>
    </row>
    <row r="72" spans="1:26" ht="21.6" customHeight="1" x14ac:dyDescent="0.3">
      <c r="A72" s="73" t="s">
        <v>332</v>
      </c>
      <c r="B72" s="34"/>
      <c r="C72" s="33" t="s">
        <v>352</v>
      </c>
      <c r="D72" s="33" t="s">
        <v>471</v>
      </c>
      <c r="E72" s="34" t="s">
        <v>6</v>
      </c>
      <c r="F72" s="35" t="s">
        <v>355</v>
      </c>
      <c r="G72" s="35" t="s">
        <v>356</v>
      </c>
      <c r="H72" s="34" t="s">
        <v>346</v>
      </c>
      <c r="I72" s="34" t="s">
        <v>44</v>
      </c>
      <c r="J72" s="34">
        <v>1</v>
      </c>
      <c r="K72" s="39">
        <v>41467</v>
      </c>
      <c r="L72" s="39">
        <v>43875</v>
      </c>
      <c r="M72" s="38" t="s">
        <v>44</v>
      </c>
      <c r="N72" s="38" t="s">
        <v>44</v>
      </c>
      <c r="O72" s="42">
        <f t="shared" si="6"/>
        <v>0</v>
      </c>
      <c r="P72" s="42">
        <f t="shared" si="7"/>
        <v>0</v>
      </c>
      <c r="Q72" s="38">
        <f t="shared" si="9"/>
        <v>-2408</v>
      </c>
      <c r="R72" s="42">
        <v>2</v>
      </c>
      <c r="S72" s="42">
        <v>19</v>
      </c>
      <c r="T72" s="63">
        <v>6.7000000000000004E-2</v>
      </c>
      <c r="U72" s="63">
        <v>6.7000000000000004E-2</v>
      </c>
      <c r="V72" s="63">
        <v>0</v>
      </c>
      <c r="W72" s="77">
        <f t="shared" si="8"/>
        <v>0.86599999999999999</v>
      </c>
    </row>
    <row r="73" spans="1:26" ht="30.6" customHeight="1" x14ac:dyDescent="0.3">
      <c r="A73" s="73" t="s">
        <v>333</v>
      </c>
      <c r="B73" s="34"/>
      <c r="C73" s="33" t="s">
        <v>357</v>
      </c>
      <c r="D73" s="33" t="s">
        <v>470</v>
      </c>
      <c r="E73" s="34" t="s">
        <v>3</v>
      </c>
      <c r="F73" s="35" t="s">
        <v>359</v>
      </c>
      <c r="G73" s="35" t="s">
        <v>358</v>
      </c>
      <c r="H73" s="34" t="s">
        <v>346</v>
      </c>
      <c r="I73" s="34" t="s">
        <v>44</v>
      </c>
      <c r="J73" s="34">
        <v>1</v>
      </c>
      <c r="K73" s="39">
        <v>40952</v>
      </c>
      <c r="L73" s="39">
        <v>43471</v>
      </c>
      <c r="M73" s="38" t="s">
        <v>43</v>
      </c>
      <c r="N73" s="38" t="s">
        <v>43</v>
      </c>
      <c r="O73" s="42">
        <f t="shared" si="6"/>
        <v>0</v>
      </c>
      <c r="P73" s="42">
        <f t="shared" si="7"/>
        <v>0</v>
      </c>
      <c r="Q73" s="38">
        <f t="shared" si="9"/>
        <v>-2519</v>
      </c>
      <c r="R73" s="42">
        <v>0</v>
      </c>
      <c r="S73" s="42">
        <v>27</v>
      </c>
      <c r="T73" s="63">
        <v>7.0999999999999994E-2</v>
      </c>
      <c r="U73" s="63">
        <v>0.14299999999999999</v>
      </c>
      <c r="V73" s="63">
        <v>0.57099999999999995</v>
      </c>
      <c r="W73" s="77">
        <f t="shared" si="8"/>
        <v>0.21500000000000008</v>
      </c>
    </row>
    <row r="74" spans="1:26" ht="23.4" customHeight="1" x14ac:dyDescent="0.3">
      <c r="A74" s="73" t="s">
        <v>334</v>
      </c>
      <c r="B74" s="34"/>
      <c r="C74" s="33" t="s">
        <v>360</v>
      </c>
      <c r="D74" s="33" t="s">
        <v>480</v>
      </c>
      <c r="E74" s="34" t="s">
        <v>3</v>
      </c>
      <c r="F74" s="35" t="s">
        <v>361</v>
      </c>
      <c r="G74" s="35" t="s">
        <v>362</v>
      </c>
      <c r="H74" s="34" t="s">
        <v>346</v>
      </c>
      <c r="I74" s="34" t="s">
        <v>44</v>
      </c>
      <c r="J74" s="34">
        <v>1</v>
      </c>
      <c r="K74" s="39">
        <v>39681</v>
      </c>
      <c r="L74" s="39">
        <v>44851</v>
      </c>
      <c r="M74" s="38" t="s">
        <v>43</v>
      </c>
      <c r="N74" s="38" t="s">
        <v>44</v>
      </c>
      <c r="O74" s="42">
        <f t="shared" si="6"/>
        <v>0</v>
      </c>
      <c r="P74" s="42">
        <f t="shared" si="7"/>
        <v>0</v>
      </c>
      <c r="Q74" s="38">
        <f t="shared" si="9"/>
        <v>-5170</v>
      </c>
      <c r="R74" s="42">
        <v>0</v>
      </c>
      <c r="S74" s="42">
        <v>9</v>
      </c>
      <c r="T74" s="63">
        <v>0.16700000000000001</v>
      </c>
      <c r="U74" s="63">
        <v>0.83299999999999996</v>
      </c>
      <c r="V74" s="63">
        <v>0</v>
      </c>
      <c r="W74" s="77">
        <f t="shared" si="8"/>
        <v>0</v>
      </c>
    </row>
    <row r="75" spans="1:26" ht="27" customHeight="1" x14ac:dyDescent="0.3">
      <c r="A75" s="73" t="s">
        <v>335</v>
      </c>
      <c r="B75" s="34"/>
      <c r="C75" s="33" t="s">
        <v>363</v>
      </c>
      <c r="D75" s="33" t="s">
        <v>473</v>
      </c>
      <c r="E75" s="34" t="s">
        <v>3</v>
      </c>
      <c r="F75" s="35" t="s">
        <v>364</v>
      </c>
      <c r="G75" s="35" t="s">
        <v>365</v>
      </c>
      <c r="H75" s="34" t="s">
        <v>346</v>
      </c>
      <c r="I75" s="34" t="s">
        <v>43</v>
      </c>
      <c r="J75" s="34">
        <v>0</v>
      </c>
      <c r="K75" s="39">
        <v>41974</v>
      </c>
      <c r="L75" s="39">
        <v>42146</v>
      </c>
      <c r="M75" s="38" t="s">
        <v>44</v>
      </c>
      <c r="N75" s="38" t="s">
        <v>44</v>
      </c>
      <c r="O75" s="42">
        <f t="shared" si="6"/>
        <v>1</v>
      </c>
      <c r="P75" s="42">
        <f t="shared" si="7"/>
        <v>1</v>
      </c>
      <c r="Q75" s="38">
        <f t="shared" si="9"/>
        <v>-172</v>
      </c>
      <c r="R75" s="42">
        <v>2</v>
      </c>
      <c r="S75" s="42">
        <v>21</v>
      </c>
      <c r="T75" s="63">
        <v>0.11799999999999999</v>
      </c>
      <c r="U75" s="63">
        <v>5.8999999999999997E-2</v>
      </c>
      <c r="V75" s="63">
        <v>0.76500000000000001</v>
      </c>
      <c r="W75" s="77">
        <f t="shared" si="8"/>
        <v>5.8000000000000052E-2</v>
      </c>
    </row>
    <row r="76" spans="1:26" ht="24" customHeight="1" x14ac:dyDescent="0.3">
      <c r="A76" s="73" t="s">
        <v>336</v>
      </c>
      <c r="B76" s="34"/>
      <c r="C76" s="33" t="s">
        <v>367</v>
      </c>
      <c r="D76" s="33" t="s">
        <v>472</v>
      </c>
      <c r="E76" s="34" t="s">
        <v>3</v>
      </c>
      <c r="F76" s="35" t="s">
        <v>366</v>
      </c>
      <c r="G76" s="35"/>
      <c r="H76" s="34" t="s">
        <v>346</v>
      </c>
      <c r="I76" s="34" t="s">
        <v>43</v>
      </c>
      <c r="J76" s="36">
        <v>1</v>
      </c>
      <c r="K76" s="65">
        <v>39244</v>
      </c>
      <c r="L76" s="65">
        <v>34918</v>
      </c>
      <c r="M76" s="38" t="s">
        <v>44</v>
      </c>
      <c r="N76" s="38" t="s">
        <v>44</v>
      </c>
      <c r="O76" s="42">
        <f t="shared" si="6"/>
        <v>1</v>
      </c>
      <c r="P76" s="42">
        <f t="shared" si="7"/>
        <v>1</v>
      </c>
      <c r="Q76" s="38">
        <f t="shared" si="9"/>
        <v>4326</v>
      </c>
      <c r="R76" s="42">
        <v>0</v>
      </c>
      <c r="S76" s="42">
        <v>7</v>
      </c>
      <c r="T76" s="63">
        <v>0</v>
      </c>
      <c r="U76" s="63">
        <v>0</v>
      </c>
      <c r="V76" s="63">
        <v>1</v>
      </c>
      <c r="W76" s="77">
        <f t="shared" si="8"/>
        <v>0</v>
      </c>
    </row>
    <row r="77" spans="1:26" ht="27.6" customHeight="1" x14ac:dyDescent="0.3">
      <c r="A77" s="73" t="s">
        <v>337</v>
      </c>
      <c r="B77" s="34"/>
      <c r="C77" s="33" t="s">
        <v>368</v>
      </c>
      <c r="D77" s="33" t="s">
        <v>474</v>
      </c>
      <c r="E77" s="34" t="s">
        <v>3</v>
      </c>
      <c r="F77" s="35" t="s">
        <v>262</v>
      </c>
      <c r="G77" s="35" t="s">
        <v>369</v>
      </c>
      <c r="H77" s="34" t="s">
        <v>346</v>
      </c>
      <c r="I77" s="34" t="s">
        <v>43</v>
      </c>
      <c r="J77" s="34">
        <v>1</v>
      </c>
      <c r="K77" s="39">
        <v>39272</v>
      </c>
      <c r="L77" s="39">
        <v>41361</v>
      </c>
      <c r="M77" s="38" t="s">
        <v>44</v>
      </c>
      <c r="N77" s="38" t="s">
        <v>44</v>
      </c>
      <c r="O77" s="42">
        <f t="shared" si="6"/>
        <v>1</v>
      </c>
      <c r="P77" s="42">
        <f t="shared" si="7"/>
        <v>0</v>
      </c>
      <c r="Q77" s="38">
        <f t="shared" si="9"/>
        <v>-2089</v>
      </c>
      <c r="R77" s="42">
        <v>1</v>
      </c>
      <c r="S77" s="42">
        <v>15</v>
      </c>
      <c r="T77" s="63">
        <v>9.0999999999999998E-2</v>
      </c>
      <c r="U77" s="63">
        <v>0.36399999999999999</v>
      </c>
      <c r="V77" s="63">
        <v>0.45500000000000002</v>
      </c>
      <c r="W77" s="77">
        <f t="shared" si="8"/>
        <v>9.000000000000008E-2</v>
      </c>
    </row>
    <row r="78" spans="1:26" ht="30.6" customHeight="1" x14ac:dyDescent="0.3">
      <c r="A78" s="73" t="s">
        <v>338</v>
      </c>
      <c r="B78" s="34"/>
      <c r="C78" s="33" t="s">
        <v>370</v>
      </c>
      <c r="D78" s="33" t="s">
        <v>476</v>
      </c>
      <c r="E78" s="34" t="s">
        <v>3</v>
      </c>
      <c r="F78" s="35" t="s">
        <v>371</v>
      </c>
      <c r="G78" s="56" t="s">
        <v>372</v>
      </c>
      <c r="H78" s="34" t="s">
        <v>346</v>
      </c>
      <c r="I78" s="34" t="s">
        <v>44</v>
      </c>
      <c r="J78" s="34">
        <v>1</v>
      </c>
      <c r="K78" s="39">
        <v>40142</v>
      </c>
      <c r="L78" s="39">
        <v>45118</v>
      </c>
      <c r="M78" s="38" t="s">
        <v>43</v>
      </c>
      <c r="N78" s="38" t="s">
        <v>44</v>
      </c>
      <c r="O78" s="42">
        <f t="shared" si="6"/>
        <v>0</v>
      </c>
      <c r="P78" s="42">
        <f t="shared" si="7"/>
        <v>0</v>
      </c>
      <c r="Q78" s="38">
        <f t="shared" si="9"/>
        <v>-4976</v>
      </c>
      <c r="R78" s="42">
        <v>9</v>
      </c>
      <c r="S78" s="42">
        <v>43</v>
      </c>
      <c r="T78" s="63">
        <v>0.33300000000000002</v>
      </c>
      <c r="U78" s="63">
        <v>0.58299999999999996</v>
      </c>
      <c r="V78" s="63">
        <v>8.3000000000000004E-2</v>
      </c>
      <c r="W78" s="77">
        <f t="shared" si="8"/>
        <v>1.0000000000001119E-3</v>
      </c>
    </row>
    <row r="79" spans="1:26" ht="30" customHeight="1" x14ac:dyDescent="0.3">
      <c r="A79" s="73" t="s">
        <v>339</v>
      </c>
      <c r="B79" s="34"/>
      <c r="C79" s="33" t="s">
        <v>374</v>
      </c>
      <c r="D79" s="33" t="s">
        <v>475</v>
      </c>
      <c r="E79" s="34" t="s">
        <v>3</v>
      </c>
      <c r="F79" s="35" t="s">
        <v>373</v>
      </c>
      <c r="G79" s="35" t="s">
        <v>274</v>
      </c>
      <c r="H79" s="34" t="s">
        <v>346</v>
      </c>
      <c r="I79" s="34" t="s">
        <v>44</v>
      </c>
      <c r="J79" s="34">
        <v>1</v>
      </c>
      <c r="K79" s="39">
        <v>41912</v>
      </c>
      <c r="L79" s="39">
        <v>45518</v>
      </c>
      <c r="M79" s="38" t="s">
        <v>43</v>
      </c>
      <c r="N79" s="38" t="s">
        <v>43</v>
      </c>
      <c r="O79" s="42">
        <f t="shared" si="6"/>
        <v>0</v>
      </c>
      <c r="P79" s="42">
        <f t="shared" si="7"/>
        <v>0</v>
      </c>
      <c r="Q79" s="38">
        <f t="shared" si="9"/>
        <v>-3606</v>
      </c>
      <c r="R79" s="42">
        <v>0</v>
      </c>
      <c r="S79" s="42">
        <v>11</v>
      </c>
      <c r="T79" s="63">
        <v>0.875</v>
      </c>
      <c r="U79" s="63">
        <v>0.125</v>
      </c>
      <c r="V79" s="63">
        <v>0</v>
      </c>
      <c r="W79" s="77">
        <f t="shared" si="8"/>
        <v>0</v>
      </c>
    </row>
    <row r="80" spans="1:26" ht="34.200000000000003" customHeight="1" x14ac:dyDescent="0.3">
      <c r="A80" s="73" t="s">
        <v>340</v>
      </c>
      <c r="B80" s="34"/>
      <c r="C80" s="33" t="s">
        <v>375</v>
      </c>
      <c r="D80" s="33" t="s">
        <v>477</v>
      </c>
      <c r="E80" s="34" t="s">
        <v>3</v>
      </c>
      <c r="F80" s="35" t="s">
        <v>262</v>
      </c>
      <c r="G80" s="35" t="s">
        <v>376</v>
      </c>
      <c r="H80" s="34" t="s">
        <v>346</v>
      </c>
      <c r="I80" s="34" t="s">
        <v>43</v>
      </c>
      <c r="J80" s="34">
        <v>0</v>
      </c>
      <c r="K80" s="39">
        <v>39286</v>
      </c>
      <c r="L80" s="39">
        <v>36333</v>
      </c>
      <c r="M80" s="38" t="s">
        <v>44</v>
      </c>
      <c r="N80" s="38" t="s">
        <v>44</v>
      </c>
      <c r="O80" s="42">
        <f t="shared" si="6"/>
        <v>1</v>
      </c>
      <c r="P80" s="42">
        <f t="shared" si="7"/>
        <v>1</v>
      </c>
      <c r="Q80" s="38">
        <f t="shared" si="9"/>
        <v>2953</v>
      </c>
      <c r="R80" s="42">
        <v>2</v>
      </c>
      <c r="S80" s="42">
        <v>16</v>
      </c>
      <c r="T80" s="63">
        <v>9.0999999999999998E-2</v>
      </c>
      <c r="U80" s="63">
        <v>0.27300000000000002</v>
      </c>
      <c r="V80" s="63">
        <v>0.63600000000000001</v>
      </c>
      <c r="W80" s="77">
        <f t="shared" si="8"/>
        <v>0</v>
      </c>
    </row>
    <row r="81" spans="1:26" ht="39.6" customHeight="1" x14ac:dyDescent="0.3">
      <c r="A81" s="73" t="s">
        <v>341</v>
      </c>
      <c r="B81" s="34"/>
      <c r="C81" s="33" t="s">
        <v>377</v>
      </c>
      <c r="D81" s="33" t="s">
        <v>478</v>
      </c>
      <c r="E81" s="34" t="s">
        <v>20</v>
      </c>
      <c r="F81" s="35" t="s">
        <v>378</v>
      </c>
      <c r="G81" s="35" t="s">
        <v>359</v>
      </c>
      <c r="H81" s="34" t="s">
        <v>346</v>
      </c>
      <c r="I81" s="34" t="s">
        <v>43</v>
      </c>
      <c r="J81" s="34">
        <v>0</v>
      </c>
      <c r="K81" s="39">
        <v>44844</v>
      </c>
      <c r="L81" s="39">
        <v>44467</v>
      </c>
      <c r="M81" s="38" t="s">
        <v>44</v>
      </c>
      <c r="N81" s="38" t="s">
        <v>44</v>
      </c>
      <c r="O81" s="42">
        <f t="shared" si="6"/>
        <v>1</v>
      </c>
      <c r="P81" s="42">
        <f t="shared" si="7"/>
        <v>1</v>
      </c>
      <c r="Q81" s="38">
        <f t="shared" si="9"/>
        <v>377</v>
      </c>
      <c r="R81" s="42">
        <v>0</v>
      </c>
      <c r="S81" s="42">
        <v>9</v>
      </c>
      <c r="T81" s="63">
        <v>0</v>
      </c>
      <c r="U81" s="63">
        <v>0</v>
      </c>
      <c r="V81" s="63">
        <v>0.57099999999999995</v>
      </c>
      <c r="W81" s="77">
        <f t="shared" si="8"/>
        <v>0.42900000000000005</v>
      </c>
    </row>
    <row r="82" spans="1:26" ht="33.6" customHeight="1" x14ac:dyDescent="0.3">
      <c r="A82" s="73" t="s">
        <v>342</v>
      </c>
      <c r="B82" s="34"/>
      <c r="C82" s="33" t="s">
        <v>379</v>
      </c>
      <c r="D82" s="33" t="s">
        <v>479</v>
      </c>
      <c r="E82" s="34" t="s">
        <v>20</v>
      </c>
      <c r="F82" s="35" t="s">
        <v>483</v>
      </c>
      <c r="G82" s="35" t="s">
        <v>181</v>
      </c>
      <c r="H82" s="34" t="s">
        <v>346</v>
      </c>
      <c r="I82" s="34" t="s">
        <v>43</v>
      </c>
      <c r="J82" s="34">
        <v>0</v>
      </c>
      <c r="K82" s="39">
        <v>43039</v>
      </c>
      <c r="L82" s="39">
        <v>45245</v>
      </c>
      <c r="M82" s="38" t="s">
        <v>44</v>
      </c>
      <c r="N82" s="38" t="s">
        <v>44</v>
      </c>
      <c r="O82" s="42">
        <f t="shared" si="6"/>
        <v>1</v>
      </c>
      <c r="P82" s="42">
        <f t="shared" si="7"/>
        <v>0</v>
      </c>
      <c r="Q82" s="38">
        <f t="shared" si="9"/>
        <v>-2206</v>
      </c>
      <c r="R82" s="42">
        <v>0</v>
      </c>
      <c r="S82" s="42">
        <v>3</v>
      </c>
      <c r="T82" s="63">
        <v>0</v>
      </c>
      <c r="U82" s="63">
        <v>0</v>
      </c>
      <c r="V82" s="63">
        <v>0</v>
      </c>
      <c r="W82" s="77">
        <f t="shared" si="8"/>
        <v>1</v>
      </c>
    </row>
    <row r="83" spans="1:26" ht="36.6" customHeight="1" x14ac:dyDescent="0.3">
      <c r="A83" s="73" t="s">
        <v>343</v>
      </c>
      <c r="B83" s="34"/>
      <c r="C83" s="33" t="s">
        <v>380</v>
      </c>
      <c r="D83" s="34"/>
      <c r="E83" s="34" t="s">
        <v>20</v>
      </c>
      <c r="F83" s="62" t="s">
        <v>381</v>
      </c>
      <c r="G83" s="57" t="s">
        <v>382</v>
      </c>
      <c r="H83" s="34" t="s">
        <v>346</v>
      </c>
      <c r="I83" s="34" t="s">
        <v>43</v>
      </c>
      <c r="J83" s="34">
        <v>0</v>
      </c>
      <c r="K83" s="39">
        <v>43454</v>
      </c>
      <c r="L83" s="39">
        <v>44523</v>
      </c>
      <c r="M83" s="38" t="s">
        <v>44</v>
      </c>
      <c r="N83" s="38" t="s">
        <v>44</v>
      </c>
      <c r="O83" s="42">
        <f t="shared" si="6"/>
        <v>1</v>
      </c>
      <c r="P83" s="42">
        <f t="shared" si="7"/>
        <v>0</v>
      </c>
      <c r="Q83" s="38">
        <f t="shared" si="9"/>
        <v>-1069</v>
      </c>
      <c r="R83" s="42">
        <v>0</v>
      </c>
      <c r="S83" s="42">
        <v>0</v>
      </c>
      <c r="T83" s="63">
        <v>0</v>
      </c>
      <c r="U83" s="63">
        <v>0</v>
      </c>
      <c r="V83" s="63">
        <v>0</v>
      </c>
      <c r="W83" s="77">
        <f t="shared" si="8"/>
        <v>0</v>
      </c>
    </row>
    <row r="84" spans="1:26" ht="18" customHeight="1" x14ac:dyDescent="0.3">
      <c r="A84" s="73" t="s">
        <v>344</v>
      </c>
      <c r="B84" s="34"/>
      <c r="C84" s="54" t="s">
        <v>384</v>
      </c>
      <c r="D84" s="33" t="s">
        <v>481</v>
      </c>
      <c r="E84" s="34" t="s">
        <v>20</v>
      </c>
      <c r="F84" s="35" t="s">
        <v>364</v>
      </c>
      <c r="G84" s="53" t="s">
        <v>383</v>
      </c>
      <c r="H84" s="34" t="s">
        <v>346</v>
      </c>
      <c r="I84" s="34" t="s">
        <v>43</v>
      </c>
      <c r="J84" s="34">
        <v>1</v>
      </c>
      <c r="K84" s="39">
        <v>45184</v>
      </c>
      <c r="L84" s="39">
        <v>43041</v>
      </c>
      <c r="M84" s="38" t="s">
        <v>44</v>
      </c>
      <c r="N84" s="38" t="s">
        <v>44</v>
      </c>
      <c r="O84" s="42">
        <f t="shared" si="6"/>
        <v>1</v>
      </c>
      <c r="P84" s="42">
        <f t="shared" si="7"/>
        <v>1</v>
      </c>
      <c r="Q84" s="38">
        <f t="shared" si="9"/>
        <v>2143</v>
      </c>
      <c r="R84" s="42">
        <v>5</v>
      </c>
      <c r="S84" s="42">
        <v>8</v>
      </c>
      <c r="T84" s="63">
        <v>1</v>
      </c>
      <c r="U84" s="63">
        <v>0</v>
      </c>
      <c r="V84" s="63">
        <v>0</v>
      </c>
      <c r="W84" s="77">
        <f t="shared" si="8"/>
        <v>0</v>
      </c>
    </row>
    <row r="85" spans="1:26" s="14" customFormat="1" ht="30" customHeight="1" x14ac:dyDescent="0.3">
      <c r="A85" s="87" t="s">
        <v>500</v>
      </c>
      <c r="B85" s="96"/>
      <c r="C85" s="96"/>
      <c r="D85" s="96"/>
      <c r="E85" s="88"/>
      <c r="F85" s="89" t="s">
        <v>172</v>
      </c>
      <c r="G85" s="47" t="s">
        <v>196</v>
      </c>
      <c r="H85" s="47" t="s">
        <v>346</v>
      </c>
      <c r="I85" s="88"/>
      <c r="J85" s="88"/>
      <c r="K85" s="88"/>
      <c r="L85" s="88"/>
      <c r="M85" s="88"/>
      <c r="N85" s="88"/>
      <c r="O85" s="88"/>
      <c r="P85" s="88"/>
      <c r="Q85" s="90"/>
      <c r="R85" s="90"/>
      <c r="S85" s="90"/>
      <c r="T85" s="91"/>
      <c r="U85" s="91"/>
      <c r="V85" s="91"/>
      <c r="W85" s="92"/>
      <c r="Z85"/>
    </row>
    <row r="86" spans="1:26" x14ac:dyDescent="0.3">
      <c r="A86" s="60"/>
    </row>
    <row r="87" spans="1:26" x14ac:dyDescent="0.3">
      <c r="A87" s="60"/>
      <c r="D87" s="86"/>
    </row>
    <row r="88" spans="1:26" x14ac:dyDescent="0.3">
      <c r="A88" s="60"/>
      <c r="D88" s="86"/>
    </row>
    <row r="89" spans="1:26" x14ac:dyDescent="0.3">
      <c r="D89" s="86"/>
    </row>
    <row r="90" spans="1:26" x14ac:dyDescent="0.3">
      <c r="D90" s="86"/>
    </row>
    <row r="91" spans="1:26" x14ac:dyDescent="0.3">
      <c r="D91" s="86"/>
    </row>
    <row r="92" spans="1:26" x14ac:dyDescent="0.3">
      <c r="D92" s="86"/>
    </row>
    <row r="93" spans="1:26" x14ac:dyDescent="0.3">
      <c r="D93" s="86"/>
    </row>
    <row r="94" spans="1:26" x14ac:dyDescent="0.3">
      <c r="D94" s="86"/>
    </row>
    <row r="95" spans="1:26" x14ac:dyDescent="0.3">
      <c r="D95" s="86"/>
    </row>
    <row r="96" spans="1:26" x14ac:dyDescent="0.3">
      <c r="D96" s="86"/>
    </row>
    <row r="97" spans="4:4" x14ac:dyDescent="0.3">
      <c r="D97" s="86"/>
    </row>
    <row r="98" spans="4:4" x14ac:dyDescent="0.3">
      <c r="D98" s="86"/>
    </row>
    <row r="99" spans="4:4" x14ac:dyDescent="0.3">
      <c r="D99" s="86"/>
    </row>
    <row r="100" spans="4:4" x14ac:dyDescent="0.3">
      <c r="D100" s="86"/>
    </row>
    <row r="643" spans="1:23" s="3" customFormat="1" x14ac:dyDescent="0.3">
      <c r="A643" s="24"/>
      <c r="C643" s="27"/>
      <c r="F643" s="23"/>
      <c r="G643" s="23"/>
      <c r="K643" s="21"/>
      <c r="L643" s="21"/>
      <c r="M643" s="29"/>
      <c r="N643" s="29"/>
      <c r="R643" s="14"/>
      <c r="S643" s="14"/>
      <c r="T643" s="64"/>
      <c r="U643" s="64"/>
      <c r="V643" s="64"/>
      <c r="W643" s="29"/>
    </row>
  </sheetData>
  <dataValidations count="1">
    <dataValidation type="list" allowBlank="1" showInputMessage="1" showErrorMessage="1" sqref="M2:N84 K85:P85 I2:I643 M86:N642 F85" xr:uid="{46AC70A4-7ABA-4D03-ADA7-1AC1D76605BF}">
      <formula1>$Z$1:$Z$3</formula1>
    </dataValidation>
  </dataValidations>
  <hyperlinks>
    <hyperlink ref="A2" r:id="rId1" display="https://www.uni-sofia.bg/index.php/bul/universitet_t/fakulteti/stopanski_fakultet/katedri_i_akademichen_s_stav/katedri/ikonomika/prepodavateli_katedra_ikonomika/doc_d_r_dimit_r_zlatinov_r_kovoditel_katedra" xr:uid="{829ADC6D-9ABF-43BA-8F69-7D4DCD458541}"/>
    <hyperlink ref="A3" r:id="rId2" display="https://www.uni-sofia.bg/index.php/bul/universitet_t/fakulteti/stopanski_fakultet/katedri_i_akademichen_s_stav/katedri/ikonomika/prepodavateli_katedra_ikonomika/prof_d_r_teodor_sedlarski" xr:uid="{5D911A23-35EA-4D16-BC30-23DC3F37067C}"/>
    <hyperlink ref="A4" r:id="rId3" display="https://www.uni-sofia.bg/index.php/bul/universitet_t/fakulteti/stopanski_fakultet/katedri_i_akademichen_s_stav/katedri/ikonomika/prepodavateli_katedra_ikonomika/prof_d_r_vanya_ivanova" xr:uid="{BE1EDFF3-CC99-4F07-904E-22ED67AF76D0}"/>
    <hyperlink ref="A5" r:id="rId4" display="https://www.uni-sofia.bg/index.php/bul/universitet_t/fakulteti/stopanski_fakultet/katedri_i_akademichen_s_stav/katedri/ikonomika/prepodavateli_katedra_ikonomika/doc_d_r_milen_velushev" xr:uid="{B44C0F87-DE31-4383-8A98-5BF406F3DE20}"/>
    <hyperlink ref="A6" r:id="rId5" display="https://www.uni-sofia.bg/index.php/bul/universitet_t/fakulteti/stopanski_fakultet/katedri_i_akademichen_s_stav/katedri/ikonomika/prepodavateli_katedra_ikonomika/doc_d_r_sonya_cvetanova_georgieva" xr:uid="{0D169E0D-C5A3-42EA-BA2E-A4E9999093DE}"/>
    <hyperlink ref="A8" r:id="rId6" display="https://www.uni-sofia.bg/index.php/bul/universitet_t/fakulteti/stopanski_fakultet/katedri_i_akademichen_s_stav/katedri/ikonomika/prepodavateli_katedra_ikonomika/doc_d_r_cvetan_madanski" xr:uid="{807629D0-7344-49BC-9833-CD970E9742B0}"/>
    <hyperlink ref="A9" r:id="rId7" display="https://www.uni-sofia.bg/index.php/bul/universitet_t/fakulteti/stopanski_fakultet/katedri_i_akademichen_s_stav/katedri/ikonomika/prepodavateli_katedra_ikonomika/gl_as_d_r_daniel_kasabov" xr:uid="{3760A2E3-77C2-4B38-BD42-B28F594F03D3}"/>
    <hyperlink ref="A10" r:id="rId8" display="https://www.uni-sofia.bg/index.php/bul/universitet_t/fakulteti/stopanski_fakultet/katedri_i_akademichen_s_stav/katedri/ikonomika/prepodavateli_katedra_ikonomika/gl_as_d_r_iliya_atanasov" xr:uid="{D9C31E1F-D24D-46BF-8A16-A249EBF8D0A6}"/>
    <hyperlink ref="A11" r:id="rId9" display="https://www.uni-sofia.bg/index.php/bul/universitet_t/fakulteti/stopanski_fakultet/katedri_i_akademichen_s_stav/katedri/ikonomika/prepodavateli_katedra_ikonomika/gl_as_d_r_rosica_zlatinska" xr:uid="{599A22E5-C401-4FCE-9D3C-3BA9E73AF359}"/>
    <hyperlink ref="A12" r:id="rId10" display="https://www.uni-sofia.bg/index.php/bul/universitet_t/fakulteti/stopanski_fakultet/katedri_i_akademichen_s_stav/katedri/ikonomika/prepodavateli_katedra_ikonomika/gl_as_d_r_lyuben_ivanov" xr:uid="{49D91145-D380-44D5-B67B-CCEDCD1AA360}"/>
    <hyperlink ref="A13" r:id="rId11" display="https://www.uni-sofia.bg/index.php/bul/universitet_t/fakulteti/stopanski_fakultet/katedri_i_akademichen_s_stav/katedri/ikonomika/prepodavateli_katedra_ikonomika/gl_as_d_r_stoyan_shalamanov" xr:uid="{92F1FEFC-2A75-46F3-A158-4E65E8D376E2}"/>
    <hyperlink ref="A14" r:id="rId12" display="https://www.uni-sofia.bg/index.php/bul/universitet_t/fakulteti/stopanski_fakultet/katedri_i_akademichen_s_stav/katedri/ikonomika/prepodavateli_katedra_ikonomika/as_d_r_radostina_ivcheva_georgieva" xr:uid="{0940E0F7-B06D-4AF5-A878-CCC69DEDF240}"/>
    <hyperlink ref="A15" r:id="rId13" display="https://www.uni-sofia.bg/index.php/bul/universitet_t/fakulteti/stopanski_fakultet/katedri_i_akademichen_s_stav/katedri/ikonomika/prepodavateli_katedra_ikonomika/as_dilyana_slavova" xr:uid="{9AB7583C-C5B0-4ACE-94FE-3D3304CD2908}"/>
    <hyperlink ref="A16" r:id="rId14" display="https://www.uni-sofia.bg/index.php/bul/universitet_t/fakulteti/stopanski_fakultet/katedri_i_akademichen_s_stav/katedri/ikonomika/prepodavateli_katedra_ikonomika/as_iliya_lingorski" xr:uid="{18F84B8E-9808-4DAE-9C82-233D74CC36C5}"/>
    <hyperlink ref="A17" r:id="rId15" display="https://www.uni-sofia.bg/index.php/bul/universitet_t/fakulteti/stopanski_fakultet/katedri_i_akademichen_s_stav/katedri/ikonomika/prepodavateli_katedra_ikonomika/as_lidiya_kabatlijska_andonova" xr:uid="{73DBBED3-E18E-42D4-9722-4BB5A6804E27}"/>
    <hyperlink ref="B2" r:id="rId16" xr:uid="{5AF8D529-9E35-4908-A845-45BCA4AC413A}"/>
    <hyperlink ref="B3" r:id="rId17" xr:uid="{FD34F1E6-21F3-45B7-B043-9E1F3E6B81DE}"/>
    <hyperlink ref="B4" r:id="rId18" xr:uid="{5CCF0265-351F-4A3B-95F4-F30407675767}"/>
    <hyperlink ref="B5" r:id="rId19" xr:uid="{9EE7321C-9D4C-43CF-AC50-BC65E6BBC8D8}"/>
    <hyperlink ref="B6" r:id="rId20" xr:uid="{3E95BE9C-23C1-4425-B5C0-F4730382415E}"/>
    <hyperlink ref="B8" r:id="rId21" xr:uid="{123B0C0B-795C-485A-8745-C2DC6348C3F1}"/>
    <hyperlink ref="B7" r:id="rId22" xr:uid="{1F9B2777-8EE1-4C5A-BAD3-6E05DCC6E82D}"/>
    <hyperlink ref="B9" r:id="rId23" xr:uid="{644E0A8B-C25C-463B-A30D-93635E2A6F29}"/>
    <hyperlink ref="B10" r:id="rId24" xr:uid="{1F4D0B44-136B-4064-8D74-44F65038C48C}"/>
    <hyperlink ref="B11" r:id="rId25" xr:uid="{6FCD74AD-D62B-4BA3-AC05-7178182E7102}"/>
    <hyperlink ref="B12" r:id="rId26" xr:uid="{1FC166CC-AC3F-4B3F-831E-92EA08A72C32}"/>
    <hyperlink ref="B13" r:id="rId27" xr:uid="{60018EC1-C2A0-4A22-ADE4-C44A9C9A0E5E}"/>
    <hyperlink ref="B14" r:id="rId28" xr:uid="{9967CBF9-4C60-43E7-854E-E24BFB04803B}"/>
    <hyperlink ref="B16" r:id="rId29" xr:uid="{CA047AEF-AFF3-42C8-8929-0ECB5482A916}"/>
    <hyperlink ref="B17" r:id="rId30" xr:uid="{297F4713-D621-47BD-B206-38CE52CD8B70}"/>
    <hyperlink ref="A18" r:id="rId31" display="https://www.uni-sofia.bg/index.php/bul/universitet_t/fakulteti/stopanski_fakultet/katedri_i_akademichen_s_stav/katedri/stopansko_upravlenie/prepodavateli_katedra_stopansko_upravlenie/doc_d_r_olimpiya_ved_r_velichkova_r_kovoditel_katedra" xr:uid="{98115063-07EC-4E64-BC55-8ED48FD3024A}"/>
    <hyperlink ref="A19" r:id="rId32" display="https://www.uni-sofia.bg/index.php/bul/universitet_t/fakulteti/stopanski_fakultet/katedri_i_akademichen_s_stav/katedri/stopansko_upravlenie/prepodavateli_katedra_stopansko_upravlenie/prof_d_ik_n_zhelyu_vladimirov_r4" xr:uid="{42799F97-526C-424C-815E-B0515BE4EEE7}"/>
    <hyperlink ref="A20" r:id="rId33" display="https://www.uni-sofia.bg/index.php/bul/universitet_t/fakulteti/stopanski_fakultet/katedri_i_akademichen_s_stav/katedri/stopansko_upravlenie/prepodavateli_katedra_stopansko_upravlenie/prof_d_ik_n_nevyana_kr_steva" xr:uid="{63246AAF-1FA8-42EB-AF4C-BABECB2007DB}"/>
    <hyperlink ref="A21" r:id="rId34" display="https://www.uni-sofia.bg/index.php/bul/universitet_t/fakulteti/stopanski_fakultet/katedri_i_akademichen_s_stav/katedri/stopansko_upravlenie/prepodavateli_katedra_stopansko_upravlenie/prof_d_ik_n_desislava_jordanova" xr:uid="{F3105EDD-8D43-4578-8ABC-BFD42CDB7D63}"/>
    <hyperlink ref="A22" r:id="rId35" display="https://www.uni-sofia.bg/index.php/bul/universitet_t/fakulteti/stopanski_fakultet/katedri_i_akademichen_s_stav/katedri/stopansko_upravlenie/prepodavateli_katedra_stopansko_upravlenie/prof_d_r_vladya_borisova" xr:uid="{B21E2DA6-CBB2-4DBF-A566-A5EE0C0C5BDF}"/>
    <hyperlink ref="A23" r:id="rId36" display="https://www.uni-sofia.bg/index.php/bul/universitet_t/fakulteti/stopanski_fakultet/katedri_i_akademichen_s_stav/katedri/stopansko_upravlenie/prepodavateli_katedra_stopansko_upravlenie/doc_d_r_miroslava_hristova" xr:uid="{FFC08C19-75B0-4B9B-B8F5-CDC5B8DFFBE6}"/>
    <hyperlink ref="A24" r:id="rId37" display="https://www.uni-sofia.bg/index.php/bul/universitet_t/fakulteti/stopanski_fakultet/katedri_i_akademichen_s_stav/katedri/stopansko_upravlenie/prepodavateli_katedra_stopansko_upravlenie/doc_d_r_todor_yal_mov" xr:uid="{E2A52B69-C636-496F-9B20-D0BD1A3D8D5A}"/>
    <hyperlink ref="A25" r:id="rId38" display="https://www.uni-sofia.bg/index.php/bul/universitet_t/fakulteti/stopanski_fakultet/katedri_i_akademichen_s_stav/katedri/stopansko_upravlenie/prepodavateli_katedra_stopansko_upravlenie/doc_d_r_iya_petkova" xr:uid="{C5A05CC4-5EEF-4BBD-AC4F-A26C33FDF113}"/>
    <hyperlink ref="A26" r:id="rId39" display="https://www.uni-sofia.bg/index.php/bul/universitet_t/fakulteti/stopanski_fakultet/katedri_i_akademichen_s_stav/katedri/stopansko_upravlenie/prepodavateli_katedra_stopansko_upravlenie/doc_d_r_ivan_angelov" xr:uid="{4E133214-08B9-40DC-A9FE-A49E0806B005}"/>
    <hyperlink ref="A27" r:id="rId40" display="https://www.uni-sofia.bg/index.php/bul/universitet_t/fakulteti/stopanski_fakultet/katedri_i_akademichen_s_stav/katedri/stopansko_upravlenie/prepodavateli_katedra_stopansko_upravlenie/doc_d_r_ivanka_mihajlova" xr:uid="{8378EE98-E08D-4B55-9F7B-59B425B45339}"/>
    <hyperlink ref="A28" r:id="rId41" display="https://www.uni-sofia.bg/index.php/bul/universitet_t/fakulteti/stopanski_fakultet/katedri_i_akademichen_s_stav/katedri/stopansko_upravlenie/prepodavateli_katedra_stopansko_upravlenie/doc_d_r_raya_kanazireva" xr:uid="{585D8CF3-684A-4B42-BC4F-2D0223E6D865}"/>
    <hyperlink ref="A29" r:id="rId42" display="https://www.uni-sofia.bg/index.php/bul/universitet_t/fakulteti/stopanski_fakultet/katedri_i_akademichen_s_stav/katedri/stopansko_upravlenie/prepodavateli_katedra_stopansko_upravlenie/gl_as_d_r_kiril_velichkov" xr:uid="{8A2BA814-9DCD-4CC5-A327-F37CA2810171}"/>
    <hyperlink ref="A30" r:id="rId43" display="https://www.uni-sofia.bg/index.php/bul/universitet_t/fakulteti/stopanski_fakultet/katedri_i_akademichen_s_stav/katedri/stopansko_upravlenie/prepodavateli_katedra_stopansko_upravlenie/gl_as_d_r_irena_mladenova" xr:uid="{495C536E-FDF3-4DC6-9F68-016C9355C516}"/>
    <hyperlink ref="A31" r:id="rId44" display="https://www.uni-sofia.bg/index.php/bul/universitet_t/fakulteti/stopanski_fakultet/katedri_i_akademichen_s_stav/katedri/stopansko_upravlenie/prepodavateli_katedra_stopansko_upravlenie/gl_as_d_r_aleksej_potebnya" xr:uid="{3F924515-F82D-4221-843E-58C3D0A33232}"/>
    <hyperlink ref="A32" r:id="rId45" display="https://www.uni-sofia.bg/index.php/bul/universitet_t/fakulteti/stopanski_fakultet/katedri_i_akademichen_s_stav/katedri/stopansko_upravlenie/prepodavateli_katedra_stopansko_upravlenie/as_d_r_zlatina_mihajlova" xr:uid="{2446280D-0451-4398-88A0-CF8C1E68660A}"/>
    <hyperlink ref="A33" r:id="rId46" display="https://www.uni-sofia.bg/index.php/bul/universitet_t/fakulteti/stopanski_fakultet/katedri_i_akademichen_s_stav/katedri/stopansko_upravlenie/prepodavateli_katedra_stopansko_upravlenie/as_d_r_nikoleta_vojnova" xr:uid="{2EE366E8-219E-49C8-B7B4-E433FDCAD6AC}"/>
    <hyperlink ref="A34" r:id="rId47" display="https://www.uni-sofia.bg/index.php/bul/universitet_t/fakulteti/stopanski_fakultet/katedri_i_akademichen_s_stav/katedri/stopansko_upravlenie/prepodavateli_katedra_stopansko_upravlenie/as_zhanet_najdenova" xr:uid="{758EB455-0C5E-47F2-9F36-3207442CD6A4}"/>
    <hyperlink ref="A35" r:id="rId48" display="https://www.uni-sofia.bg/index.php/bul/universitet_t/fakulteti/stopanski_fakultet/katedri_i_akademichen_s_stav/katedri/stopansko_upravlenie/prepodavateli_katedra_stopansko_upravlenie/as_niya_koleva_ivanova" xr:uid="{4B45C238-F1D8-4124-A79A-361D95F06A78}"/>
    <hyperlink ref="A36" r:id="rId49" display="https://www.uni-sofia.bg/index.php/bul/universitet_t/fakulteti/stopanski_fakultet/katedri_i_akademichen_s_stav/katedri/stopansko_upravlenie/prepodavateli_katedra_stopansko_upravlenie/as_teodor_daskalov" xr:uid="{EDFAF13C-8DF6-4628-A61E-4E26309CD527}"/>
    <hyperlink ref="B19" r:id="rId50" xr:uid="{69E87F5B-E896-4DE4-A0B0-B67FBE7CFB6F}"/>
    <hyperlink ref="B20" r:id="rId51" xr:uid="{1105CF7D-D678-4D9D-89B9-B5C8142778D3}"/>
    <hyperlink ref="B21" r:id="rId52" xr:uid="{BE2D7671-EA3F-4EEA-BFB1-816F195C98BA}"/>
    <hyperlink ref="B24" r:id="rId53" xr:uid="{C5711272-C551-4CE2-93F6-BC80BA6B13C7}"/>
    <hyperlink ref="B29" r:id="rId54" xr:uid="{070B712B-653B-410C-B6EF-6294FFC4D11B}"/>
    <hyperlink ref="B36" r:id="rId55" xr:uid="{53CCA61E-7A53-45A5-88A6-ECD793B75DD4}"/>
    <hyperlink ref="B34" r:id="rId56" xr:uid="{7D91AA6B-B4A7-4B3B-8895-4F65BAE4DD80}"/>
    <hyperlink ref="B33" r:id="rId57" xr:uid="{65AD2F43-DBCF-4AE5-8EC9-4ED46D4A6F5B}"/>
    <hyperlink ref="A37" r:id="rId58" display="https://www.uni-sofia.bg/index.php/bul/universitet_t/fakulteti/stopanski_fakultet/katedri_i_akademichen_s_stav/katedri/finansi_i_schetovodstvo/prepodavateli_katedra_finansi_i_schetovodstvo/doc_d_r_bozhidar_nedev_r_kovoditel_katedra" xr:uid="{3840734D-EBC5-46D5-A981-111A870FBCC0}"/>
    <hyperlink ref="A38" r:id="rId59" display="https://www.uni-sofia.bg/index.php/bul/universitet_t/fakulteti/stopanski_fakultet/katedri_i_akademichen_s_stav/katedri/finansi_i_schetovodstvo/prepodavateli_katedra_finansi_i_schetovodstvo/prof_d_r_viktor_jocov" xr:uid="{89F7DF72-8B87-4A30-8A5C-F1907CE5803D}"/>
    <hyperlink ref="A39" r:id="rId60" display="https://www.uni-sofia.bg/index.php/bul/universitet_t/fakulteti/stopanski_fakultet/katedri_i_akademichen_s_stav/katedri/finansi_i_schetovodstvo/prepodavateli_katedra_finansi_i_schetovodstvo/prof_d_r_eleonora_stancheva" xr:uid="{67E260A4-9D39-49CF-B8E2-F9E81752D96A}"/>
    <hyperlink ref="A40" r:id="rId61" display="https://www.uni-sofia.bg/index.php/bul/universitet_t/fakulteti/stopanski_fakultet/katedri_i_akademichen_s_stav/katedri/finansi_i_schetovodstvo/prepodavateli_katedra_finansi_i_schetovodstvo/prof_d_r_nadya_velinova_sokolova" xr:uid="{76B34A35-411A-40E8-8A00-C69CEC0E81D5}"/>
    <hyperlink ref="A41" r:id="rId62" display="https://www.uni-sofia.bg/index.php/bul/universitet_t/fakulteti/stopanski_fakultet/katedri_i_akademichen_s_stav/katedri/finansi_i_schetovodstvo/prepodavateli_katedra_finansi_i_schetovodstvo/doc_d_r_adrian_marinchev" xr:uid="{AD9FA779-772F-47E1-BDA2-1E1369EB1051}"/>
    <hyperlink ref="A42" r:id="rId63" display="https://www.uni-sofia.bg/index.php/bul/universitet_t/fakulteti/stopanski_fakultet/katedri_i_akademichen_s_stav/katedri/finansi_i_schetovodstvo/prepodavateli_katedra_finansi_i_schetovodstvo/doc_d_r_bancho_banov" xr:uid="{BA36CC45-4DF9-4C15-BD7A-2EED9611642A}"/>
    <hyperlink ref="A43" r:id="rId64" display="https://www.uni-sofia.bg/index.php/bul/universitet_t/fakulteti/stopanski_fakultet/katedri_i_akademichen_s_stav/katedri/finansi_i_schetovodstvo/prepodavateli_katedra_finansi_i_schetovodstvo/doc_d_r_iliyana_ankova" xr:uid="{0CCA2D4F-9F3D-4E64-9AD6-5BE4DB10AD0C}"/>
    <hyperlink ref="A44" r:id="rId65" display="https://www.uni-sofia.bg/index.php/bul/universitet_t/fakulteti/stopanski_fakultet/katedri_i_akademichen_s_stav/katedri/finansi_i_schetovodstvo/prepodavateli_katedra_finansi_i_schetovodstvo/doc_d_r_marselen_jovogan" xr:uid="{5F2689D2-8E0E-40AB-A604-87C200474487}"/>
    <hyperlink ref="A45" r:id="rId66" display="https://www.uni-sofia.bg/index.php/bul/universitet_t/fakulteti/stopanski_fakultet/katedri_i_akademichen_s_stav/katedri/finansi_i_schetovodstvo/prepodavateli_katedra_finansi_i_schetovodstvo/gl_as_d_r_georgi_ganev" xr:uid="{527D4531-84A3-4BCB-BA54-250AC3FAEC92}"/>
    <hyperlink ref="A46" r:id="rId67" display="https://www.uni-sofia.bg/index.php/bul/universitet_t/fakulteti/stopanski_fakultet/katedri_i_akademichen_s_stav/katedri/finansi_i_schetovodstvo/prepodavateli_katedra_finansi_i_schetovodstvo/gl_as_d_r_stojko_mitov" xr:uid="{36DCE88B-0B43-405B-9E6D-8F13E7052CA1}"/>
    <hyperlink ref="A47" r:id="rId68" display="https://www.uni-sofia.bg/index.php/bul/universitet_t/fakulteti/stopanski_fakultet/katedri_i_akademichen_s_stav/katedri/finansi_i_schetovodstvo/prepodavateli_katedra_finansi_i_schetovodstvo/gl_as_d_r_nikolaj_kacarski" xr:uid="{F0BD20A9-6050-4E10-ACDD-A2A5AB3A7550}"/>
    <hyperlink ref="A48" r:id="rId69" display="https://www.uni-sofia.bg/index.php/bul/universitet_t/fakulteti/stopanski_fakultet/katedri_i_akademichen_s_stav/katedri/finansi_i_schetovodstvo/prepodavateli_katedra_finansi_i_schetovodstvo/gl_as_d_r_mario_kasabov" xr:uid="{916943C0-204E-45E5-9CA8-60C06BEE98CF}"/>
    <hyperlink ref="A49" r:id="rId70" display="https://www.uni-sofia.bg/index.php/bul/universitet_t/fakulteti/stopanski_fakultet/katedri_i_akademichen_s_stav/katedri/finansi_i_schetovodstvo/prepodavateli_katedra_finansi_i_schetovodstvo/as_velin_filipov" xr:uid="{4E938CD5-4117-4A6D-AD3C-63107378BF4E}"/>
    <hyperlink ref="A50" r:id="rId71" display="https://www.uni-sofia.bg/index.php/bul/universitet_t/fakulteti/stopanski_fakultet/katedri_i_akademichen_s_stav/katedri/finansi_i_schetovodstvo/prepodavateli_katedra_finansi_i_schetovodstvo/as_danail_gushev" xr:uid="{9561142A-64B4-47C0-A251-F8635A7A6F66}"/>
    <hyperlink ref="C4" r:id="rId72" xr:uid="{AE7B51D1-AE35-4CCB-AF27-C9B7CE948969}"/>
    <hyperlink ref="C3" r:id="rId73" xr:uid="{169D105B-2422-4387-85C6-D14CB0E0D3AA}"/>
    <hyperlink ref="C18" r:id="rId74" xr:uid="{53E87494-B516-4A33-82E8-1C2343931939}"/>
    <hyperlink ref="C19" r:id="rId75" xr:uid="{1173E5E3-2725-4216-8F6C-C94876D3B5C3}"/>
    <hyperlink ref="C20" r:id="rId76" xr:uid="{468C222A-DC54-4707-A032-C423C3C506AF}"/>
    <hyperlink ref="C21" r:id="rId77" xr:uid="{1C860B13-0438-4276-AA2F-5E01407967E1}"/>
    <hyperlink ref="C22" r:id="rId78" xr:uid="{E831A286-F5A4-4E08-BBC0-5DF419810F22}"/>
    <hyperlink ref="C23" r:id="rId79" xr:uid="{3281393F-29E3-4C28-BFAE-01D8C9422760}"/>
    <hyperlink ref="C24" r:id="rId80" xr:uid="{771DA009-51B4-4FEC-94C7-36B781BF3B9D}"/>
    <hyperlink ref="C25" r:id="rId81" xr:uid="{10D3845C-20FE-44B6-A947-6AD165CC9B1F}"/>
    <hyperlink ref="C26" r:id="rId82" xr:uid="{9A822AA5-8345-4EBA-BFEF-06E9AC2C47A6}"/>
    <hyperlink ref="C27" r:id="rId83" xr:uid="{171F24D4-3E50-4F6B-BDB1-D73A905F52A3}"/>
    <hyperlink ref="C28" r:id="rId84" xr:uid="{79F07544-4275-4AA8-B35B-67F84C0E5BA9}"/>
    <hyperlink ref="C29" r:id="rId85" xr:uid="{BCE73C01-E7BE-4F3A-8F1A-D63AC1FD1F70}"/>
    <hyperlink ref="C30" r:id="rId86" xr:uid="{CC2FCA77-24C4-40BB-8EB6-9636C67797CC}"/>
    <hyperlink ref="C31" r:id="rId87" xr:uid="{94BB8C1D-2C26-4CCD-9AD4-BBBF4ECA248B}"/>
    <hyperlink ref="C32" r:id="rId88" xr:uid="{1FF35F11-0ED4-4742-9C12-C4EF06EA4F36}"/>
    <hyperlink ref="C33" r:id="rId89" xr:uid="{9200AF57-7D1C-4F77-95CD-CE17757165D5}"/>
    <hyperlink ref="C34" r:id="rId90" xr:uid="{091725DF-73A7-4F1F-9E45-D5018F1B2B31}"/>
    <hyperlink ref="C35" r:id="rId91" xr:uid="{638D603C-6609-48DD-AB40-64AF57FD9882}"/>
    <hyperlink ref="C37" r:id="rId92" xr:uid="{D124F14E-75D0-45B0-AD8A-A79DC3F32373}"/>
    <hyperlink ref="C38" r:id="rId93" xr:uid="{C627357C-8ACE-4931-AF0A-F69A1E347053}"/>
    <hyperlink ref="C39" r:id="rId94" xr:uid="{C459C36F-24B2-44F2-93F4-EF781EC77994}"/>
    <hyperlink ref="C40" r:id="rId95" xr:uid="{A3E44ED0-A5F8-4F6D-A55A-E0397F1DBD06}"/>
    <hyperlink ref="C41" r:id="rId96" xr:uid="{858C1073-A199-4D63-888F-C51A60ABA8C4}"/>
    <hyperlink ref="C42" r:id="rId97" xr:uid="{822EAE01-44F9-4814-8689-4CD738672EE2}"/>
    <hyperlink ref="C43" r:id="rId98" xr:uid="{6BACF869-7AEE-409E-A7FA-BEF2D475551F}"/>
    <hyperlink ref="C44" r:id="rId99" xr:uid="{B3631C0C-3169-40F9-8639-5D12377A1940}"/>
    <hyperlink ref="C45" r:id="rId100" xr:uid="{77695EF0-B0BD-4928-85A5-B11081E20EB5}"/>
    <hyperlink ref="C46" r:id="rId101" xr:uid="{9F00742C-DF03-43EC-A707-DDB55E6C1CBF}"/>
    <hyperlink ref="B46" r:id="rId102" xr:uid="{23E66BD6-9977-4960-9E50-3CAFA6CA5402}"/>
    <hyperlink ref="C47" r:id="rId103" xr:uid="{05F90BE2-F047-477F-B410-EB5752D2460E}"/>
    <hyperlink ref="C48" r:id="rId104" xr:uid="{54ADC852-B082-45A0-B64E-21396A9B94F7}"/>
    <hyperlink ref="A51" r:id="rId105" display="https://www.uni-sofia.bg/index.php/bul/universitet_t/fakulteti/stopanski_fakultet/katedri_i_akademichen_s_stav/katedri/ikonomika_i_upravlenie_po_otrasli/prepodavateli_katedra_ikonomika_i_upravlenie_po_otrasli/doc_d_r_marina_stefanova_r_kovoditel_katedra" xr:uid="{1B282DEE-8B20-4C3F-AA87-D653F80B2FF3}"/>
    <hyperlink ref="A52" r:id="rId106" display="https://www.uni-sofia.bg/index.php/bul/universitet_t/fakulteti/stopanski_fakultet/katedri_i_akademichen_s_stav/katedri/ikonomika_i_upravlenie_po_otrasli/prepodavateli_katedra_ikonomika_i_upravlenie_po_otrasli/prof_d_ik_n_anton_gerunov" xr:uid="{E2A64BEA-81EE-46B4-B2D3-8F68B17131A3}"/>
    <hyperlink ref="A53" r:id="rId107" display="https://www.uni-sofia.bg/index.php/bul/universitet_t/fakulteti/stopanski_fakultet/katedri_i_akademichen_s_stav/katedri/ikonomika_i_upravlenie_po_otrasli/prepodavateli_katedra_ikonomika_i_upravlenie_po_otrasli/prof_d_ik_n_sonya_mileva_bozhanova" xr:uid="{8B09861E-AC24-4332-B4CC-D97CA9E6996B}"/>
    <hyperlink ref="A54" r:id="rId108" display="https://www.uni-sofia.bg/index.php/bul/universitet_t/fakulteti/stopanski_fakultet/katedri_i_akademichen_s_stav/katedri/ikonomika_i_upravlenie_po_otrasli/prepodavateli_katedra_ikonomika_i_upravlenie_po_otrasli/prof_d_r_georgi_mengov" xr:uid="{E803FCFF-1BE7-44FD-845C-47C32257C3B2}"/>
    <hyperlink ref="A55" r:id="rId109" display="https://www.uni-sofia.bg/index.php/bul/universitet_t/fakulteti/stopanski_fakultet/katedri_i_akademichen_s_stav/katedri/ikonomika_i_upravlenie_po_otrasli/prepodavateli_katedra_ikonomika_i_upravlenie_po_otrasli/prof_d_r_svetlana_byalkova" xr:uid="{73A2A715-5CF0-485F-BC7C-74D301F46F6F}"/>
    <hyperlink ref="A56" r:id="rId110" display="https://www.uni-sofia.bg/index.php/bul/universitet_t/fakulteti/stopanski_fakultet/katedri_i_akademichen_s_stav/katedri/ikonomika_i_upravlenie_po_otrasli/prepodavateli_katedra_ikonomika_i_upravlenie_po_otrasli/prof_d_r_teodora_georgieva" xr:uid="{DBBF3E9E-D637-4D96-BCBF-9A32031503FB}"/>
    <hyperlink ref="A57" r:id="rId111" display="https://www.uni-sofia.bg/index.php/bul/universitet_t/fakulteti/stopanski_fakultet/katedri_i_akademichen_s_stav/katedri/ikonomika_i_upravlenie_po_otrasli/prepodavateli_katedra_ikonomika_i_upravlenie_po_otrasli/prof_d_r_fantina_rangelova" xr:uid="{E7CA4163-159F-4CE6-8BA9-DD45530E81A2}"/>
    <hyperlink ref="A58" r:id="rId112" display="https://www.uni-sofia.bg/index.php/bul/universitet_t/fakulteti/stopanski_fakultet/katedri_i_akademichen_s_stav/katedri/ikonomika_i_upravlenie_po_otrasli/prepodavateli_katedra_ikonomika_i_upravlenie_po_otrasli/doc_d_r_atanas_georgiev_dekan" xr:uid="{B12047D8-A3CB-408A-BEC3-CC957FAE8FDC}"/>
    <hyperlink ref="A59" r:id="rId113" display="https://www.uni-sofia.bg/index.php/bul/universitet_t/fakulteti/stopanski_fakultet/katedri_i_akademichen_s_stav/katedri/ikonomika_i_upravlenie_po_otrasli/prepodavateli_katedra_ikonomika_i_upravlenie_po_otrasli/doc_d_r_diyana_netova" xr:uid="{2EFDC7D4-F633-4C01-89B5-1755528D3EB7}"/>
    <hyperlink ref="A60" r:id="rId114" display="https://www.uni-sofia.bg/index.php/bul/universitet_t/fakulteti/stopanski_fakultet/katedri_i_akademichen_s_stav/katedri/ikonomika_i_upravlenie_po_otrasli/prepodavateli_katedra_ikonomika_i_upravlenie_po_otrasli/doc_d_r_savina_mihajlova_goleminova" xr:uid="{B1F30C9B-1388-434B-8787-7FE554B5923A}"/>
    <hyperlink ref="A61" r:id="rId115" display="https://www.uni-sofia.bg/index.php/bul/universitet_t/fakulteti/stopanski_fakultet/katedri_i_akademichen_s_stav/katedri/ikonomika_i_upravlenie_po_otrasli/prepodavateli_katedra_ikonomika_i_upravlenie_po_otrasli/doc_d_r_desislava_kalcheva" xr:uid="{3C437635-F8FF-470F-9D4D-FB7413BB402B}"/>
    <hyperlink ref="A62" r:id="rId116" display="https://www.uni-sofia.bg/index.php/bul/universitet_t/fakulteti/stopanski_fakultet/katedri_i_akademichen_s_stav/katedri/ikonomika_i_upravlenie_po_otrasli/prepodavateli_katedra_ikonomika_i_upravlenie_po_otrasli/gl_as_d_r_emil_mitov" xr:uid="{8C819887-B7F5-429A-AB33-D7BF31C46F21}"/>
    <hyperlink ref="A63" r:id="rId117" display="https://www.uni-sofia.bg/index.php/bul/universitet_t/fakulteti/stopanski_fakultet/katedri_i_akademichen_s_stav/katedri/ikonomika_i_upravlenie_po_otrasli/prepodavateli_katedra_ikonomika_i_upravlenie_po_otrasli/gl_as_d_r_ivajlo_najdenov" xr:uid="{A48D15C7-F8BF-417D-A4CC-6530224B9F02}"/>
    <hyperlink ref="A64" r:id="rId118" display="https://www.uni-sofia.bg/index.php/bul/universitet_t/fakulteti/stopanski_fakultet/katedri_i_akademichen_s_stav/katedri/ikonomika_i_upravlenie_po_otrasli/prepodavateli_katedra_ikonomika_i_upravlenie_po_otrasli/gl_as_d_r_mariya_trifonova" xr:uid="{6EB24BEF-F232-46C3-8BC4-A070C3638283}"/>
    <hyperlink ref="A65" r:id="rId119" display="https://www.uni-sofia.bg/index.php/bul/universitet_t/fakulteti/stopanski_fakultet/katedri_i_akademichen_s_stav/katedri/ikonomika_i_upravlenie_po_otrasli/prepodavateli_katedra_ikonomika_i_upravlenie_po_otrasli/gl_as_d_r_martina_arabadzhieva" xr:uid="{644988A7-3D49-43D7-A64F-A1FA1EDF98D0}"/>
    <hyperlink ref="A66" r:id="rId120" display="https://www.uni-sofia.bg/index.php/bul/universitet_t/fakulteti/stopanski_fakultet/katedri_i_akademichen_s_stav/katedri/ikonomika_i_upravlenie_po_otrasli/prepodavateli_katedra_ikonomika_i_upravlenie_po_otrasli/gl_as_d_r_pet_r_tashev" xr:uid="{4D2320F1-F88D-46D5-A7FA-57B02E5BD00F}"/>
    <hyperlink ref="A67" r:id="rId121" display="https://www.uni-sofia.bg/index.php/bul/universitet_t/fakulteti/stopanski_fakultet/katedri_i_akademichen_s_stav/katedri/ikonomika_i_upravlenie_po_otrasli/prepodavateli_katedra_ikonomika_i_upravlenie_po_otrasli/as_d_r_reni_pancheva" xr:uid="{DF8B7C55-B006-44D6-8A81-ECA46A853F0B}"/>
    <hyperlink ref="A68" r:id="rId122" display="https://www.uni-sofia.bg/index.php/bul/universitet_t/fakulteti/stopanski_fakultet/katedri_i_akademichen_s_stav/katedri/ikonomika_i_upravlenie_po_otrasli/prepodavateli_katedra_ikonomika_i_upravlenie_po_otrasli/as_vasil_karaivanov" xr:uid="{81480542-CD1C-488D-AFB0-8005F4FB8071}"/>
    <hyperlink ref="C51" r:id="rId123" xr:uid="{6C3C02D5-88AE-48B9-99C9-D473635C8681}"/>
    <hyperlink ref="B60" r:id="rId124" xr:uid="{74450ACA-4A17-4C9F-83F8-E0EC918EBD9A}"/>
    <hyperlink ref="B59" r:id="rId125" xr:uid="{649F2D1F-A593-43F0-8724-0BDB00760FAD}"/>
    <hyperlink ref="C61" r:id="rId126" xr:uid="{A0E3DB11-5082-4715-A695-EC9CBA148B83}"/>
    <hyperlink ref="C62" r:id="rId127" xr:uid="{CBC589C3-6640-4540-A021-C6FF02178985}"/>
    <hyperlink ref="C63" r:id="rId128" xr:uid="{75F352DF-A3DA-46DA-BDB5-33855FAABD4F}"/>
    <hyperlink ref="C65" r:id="rId129" xr:uid="{239FE8A7-CF7C-4A3B-AECA-4A829A4BD18B}"/>
    <hyperlink ref="C66" r:id="rId130" xr:uid="{03DFB7CE-AE7A-4A2A-B2F7-38140AA07487}"/>
    <hyperlink ref="C67" r:id="rId131" xr:uid="{11F5516A-C7B0-4E65-8E4C-8D299332755F}"/>
    <hyperlink ref="C68" r:id="rId132" xr:uid="{A3254A6F-F5FB-4384-BFA9-C6E5A2EA0640}"/>
    <hyperlink ref="A69" r:id="rId133" display="https://www.uni-sofia.bg/index.php/bul/universitet_t/fakulteti/stopanski_fakultet/katedri_i_akademichen_s_stav/katedri/statistika_i_ikonometriya/prepodavateli_katedra_statistika_i_ikonometriya/doc_d_r_nikolaj_netov_r_kovoditel_katedra" xr:uid="{8915D9F0-E7D7-478D-8902-674266BACDDB}"/>
    <hyperlink ref="A70" r:id="rId134" display="https://www.uni-sofia.bg/index.php/bul/universitet_t/fakulteti/stopanski_fakultet/katedri_i_akademichen_s_stav/katedri/statistika_i_ikonometriya/prepodavateli_katedra_statistika_i_ikonometriya/prof_d_m_n_ivan_ivanov" xr:uid="{56D16C80-5BA3-4726-9A99-33AB03E08E23}"/>
    <hyperlink ref="A71" r:id="rId135" display="https://www.uni-sofia.bg/index.php/bul/universitet_t/fakulteti/stopanski_fakultet/katedri_i_akademichen_s_stav/katedri/statistika_i_ikonometriya/prepodavateli_katedra_statistika_i_ikonometriya/prof_d_r_kamen_spasov" xr:uid="{3F588927-B659-4294-8E61-BB22A29B24D1}"/>
    <hyperlink ref="A72" r:id="rId136" display="https://www.uni-sofia.bg/index.php/bul/universitet_t/fakulteti/stopanski_fakultet/katedri_i_akademichen_s_stav/katedri/statistika_i_ikonometriya/prepodavateli_katedra_statistika_i_ikonometriya/prof_d_r_deyan_radev" xr:uid="{1BB72E17-843F-4C0E-AFF0-A5688E11B0CA}"/>
    <hyperlink ref="A73" r:id="rId137" display="https://www.uni-sofia.bg/index.php/bul/universitet_t/fakulteti/stopanski_fakultet/katedri_i_akademichen_s_stav/katedri/statistika_i_ikonometriya/prepodavateli_katedra_statistika_i_ikonometriya/doc_d_r_angel_a_marchev" xr:uid="{68AF4924-1BF1-4D9B-86ED-5D0575C0A974}"/>
    <hyperlink ref="A74" r:id="rId138" display="https://www.uni-sofia.bg/index.php/bul/universitet_t/fakulteti/stopanski_fakultet/katedri_i_akademichen_s_stav/katedri/statistika_i_ikonometriya/prepodavateli_katedra_statistika_i_ikonometriya/doc_d_r_andrej_vasilev" xr:uid="{48AE1B6C-9B3D-4219-A059-BC6BE01CBE09}"/>
    <hyperlink ref="A75" r:id="rId139" display="https://www.uni-sofia.bg/index.php/bul/universitet_t/fakulteti/stopanski_fakultet/katedri_i_akademichen_s_stav/katedri/statistika_i_ikonometriya/prepodavateli_katedra_statistika_i_ikonometriya/doc_d_r_boryana_pelova" xr:uid="{DBF11579-087B-4BF2-BA91-AB6C2CE49ABD}"/>
    <hyperlink ref="A76" r:id="rId140" display="https://www.uni-sofia.bg/index.php/bul/universitet_t/fakulteti/stopanski_fakultet/katedri_i_akademichen_s_stav/katedri/statistika_i_ikonometriya/prepodavateli_katedra_statistika_i_ikonometriya/doc_d_r_boyan_lomev" xr:uid="{BB02526F-FF31-4A04-9E1E-75D6BF39D75D}"/>
    <hyperlink ref="A77" r:id="rId141" display="https://www.uni-sofia.bg/index.php/bul/universitet_t/fakulteti/stopanski_fakultet/katedri_i_akademichen_s_stav/katedri/statistika_i_ikonometriya/prepodavateli_katedra_statistika_i_ikonometriya/doc_d_r_kaloyan_ganev" xr:uid="{EA86516D-2627-405B-B1E2-9F86683C388D}"/>
    <hyperlink ref="A78" r:id="rId142" display="https://www.uni-sofia.bg/index.php/bul/universitet_t/fakulteti/stopanski_fakultet/katedri_i_akademichen_s_stav/katedri/statistika_i_ikonometriya/prepodavateli_katedra_statistika_i_ikonometriya/doc_d_r_mariyan_milev" xr:uid="{AA9E1858-FDA3-49FC-A0CB-8E5BC0AB126B}"/>
    <hyperlink ref="A79" r:id="rId143" display="https://www.uni-sofia.bg/index.php/bul/universitet_t/fakulteti/stopanski_fakultet/katedri_i_akademichen_s_stav/katedri/statistika_i_ikonometriya/prepodavateli_katedra_statistika_i_ikonometriya/doc_d_r_radostin_vazov" xr:uid="{78F66B9E-FF94-4C4A-86B0-479C86620C65}"/>
    <hyperlink ref="A80" r:id="rId144" display="https://www.uni-sofia.bg/index.php/bul/universitet_t/fakulteti/stopanski_fakultet/katedri_i_akademichen_s_stav/katedri/statistika_i_ikonometriya/prepodavateli_katedra_statistika_i_ikonometriya/doc_d_r_ralica_simeonova_ganeva" xr:uid="{717B0902-56FC-45A4-999A-A74461C56FEB}"/>
    <hyperlink ref="A81" r:id="rId145" display="https://www.uni-sofia.bg/index.php/bul/universitet_t/fakulteti/stopanski_fakultet/katedri_i_akademichen_s_stav/katedri/statistika_i_ikonometriya/prepodavateli_katedra_statistika_i_ikonometriya/gl_as_d_r_gloriya_hristova" xr:uid="{231E83A8-C01A-479C-9268-B61EB5895485}"/>
    <hyperlink ref="A82" r:id="rId146" display="https://www.uni-sofia.bg/index.php/bul/universitet_t/fakulteti/stopanski_fakultet/katedri_i_akademichen_s_stav/katedri/statistika_i_ikonometriya/prepodavateli_katedra_statistika_i_ikonometriya/gl_as_d_r_denica_gavrilova" xr:uid="{05CCBB37-4161-484F-8561-D6ECA2B91BAA}"/>
    <hyperlink ref="A83" r:id="rId147" display="https://www.uni-sofia.bg/index.php/bul/universitet_t/fakulteti/stopanski_fakultet/katedri_i_akademichen_s_stav/katedri/statistika_i_ikonometriya/prepodavateli_katedra_statistika_i_ikonometriya/gl_as_d_r_teodora_v_rbanova" xr:uid="{2856FBBC-0A8E-4720-9B90-8A0C2429C830}"/>
    <hyperlink ref="A84" r:id="rId148" display="https://www.uni-sofia.bg/index.php/bul/universitet_t/fakulteti/stopanski_fakultet/katedri_i_akademichen_s_stav/katedri/statistika_i_ikonometriya/prepodavateli_katedra_statistika_i_ikonometriya/gl_as_d_r_bojko_amarov" xr:uid="{8DB07A7E-9AD1-4167-9183-420EC3A3F7F1}"/>
    <hyperlink ref="A85" r:id="rId149" display="https://www.uni-sofia.bg/index.php/bul/universitet_t/fakulteti/stopanski_fakultet/katedri_i_akademichen_s_stav/katedri/statistika_i_ikonometriya/prepodavateli_katedra_statistika_i_ikonometriya/as_dzhejms_osondu" xr:uid="{2DFB5C74-40D4-40AC-8448-27D59E37840B}"/>
    <hyperlink ref="C70" r:id="rId150" xr:uid="{2F9BB9BA-F7F9-4BD8-A4A6-164D3107CB97}"/>
    <hyperlink ref="C71" r:id="rId151" xr:uid="{A3F1FE69-73D7-45A6-9C6F-59E5D9D2B554}"/>
    <hyperlink ref="C72" r:id="rId152" xr:uid="{0F76FE4E-2E91-4E03-B658-39241CF9F1AD}"/>
    <hyperlink ref="C74" r:id="rId153" xr:uid="{079BB34E-6217-4620-B11A-58BE73B30442}"/>
    <hyperlink ref="C76" r:id="rId154" xr:uid="{4061E338-3730-4D32-816E-91DD29B4071C}"/>
    <hyperlink ref="C75" r:id="rId155" xr:uid="{2FBE4E13-D00D-4EA3-B978-2D82C75CAE0E}"/>
    <hyperlink ref="C52" r:id="rId156" xr:uid="{36240A9D-0CDD-4BCF-B50D-AEBF504DCEBF}"/>
    <hyperlink ref="C53" r:id="rId157" xr:uid="{B67CFE6C-60F1-48E0-8ED1-D9BD51E999FC}"/>
    <hyperlink ref="C54" r:id="rId158" xr:uid="{951505CE-4F1D-40CC-B871-2CF4A411908C}"/>
    <hyperlink ref="C55" r:id="rId159" xr:uid="{24CD47C1-78FF-480E-AFC5-02E6BAEC3D63}"/>
    <hyperlink ref="C56" r:id="rId160" xr:uid="{FBF7CB99-0742-4C85-9B90-70B8D42593BF}"/>
    <hyperlink ref="C57" r:id="rId161" xr:uid="{1B9B7172-7208-40E9-9BF1-DBF95087D641}"/>
    <hyperlink ref="C58" r:id="rId162" xr:uid="{C72B7C1F-33C9-4F58-9B4D-B2C77861F353}"/>
    <hyperlink ref="C77" r:id="rId163" xr:uid="{AE5A8159-80A7-4785-A1FF-7D7FD5DDFDAC}"/>
    <hyperlink ref="C78" r:id="rId164" xr:uid="{85F78459-EEA3-48F1-A4BA-4EE03926DAC3}"/>
    <hyperlink ref="C80" r:id="rId165" xr:uid="{8199DE7F-BB95-4B95-9E11-ECCB6E756ECE}"/>
    <hyperlink ref="C81" r:id="rId166" xr:uid="{6DAE88C7-69E8-442A-99B0-3D365421FE80}"/>
    <hyperlink ref="C83" r:id="rId167" xr:uid="{F15F0FF6-8062-4D30-8F92-97B97250D91B}"/>
    <hyperlink ref="C82" r:id="rId168" xr:uid="{DE0E4823-6651-4C29-8DEC-1074A932AA7F}"/>
    <hyperlink ref="D2" r:id="rId169" xr:uid="{B2CE2EA2-97EB-4921-87C0-CC09ABAC918B}"/>
    <hyperlink ref="D3" r:id="rId170" xr:uid="{67834BA0-C3DA-4D29-839D-78559AFB52A9}"/>
    <hyperlink ref="D4" r:id="rId171" xr:uid="{D9F66321-97FF-4FA4-8CA4-B4521ED0CB65}"/>
    <hyperlink ref="D6" r:id="rId172" xr:uid="{3661B973-E79F-469E-9A30-3455CA9D6147}"/>
    <hyperlink ref="D7" r:id="rId173" xr:uid="{3CBEF081-BB8D-4900-BEED-B051E5BB2C8B}"/>
    <hyperlink ref="C6" r:id="rId174" xr:uid="{9F9E2C96-145C-4AD6-819F-E6DE6B50B85F}"/>
    <hyperlink ref="C7" r:id="rId175" xr:uid="{51DDB4B0-92C4-41C8-A69C-310D1E019855}"/>
    <hyperlink ref="B42" r:id="rId176" xr:uid="{1E19DE3C-E4B8-4F0F-B39D-6B7C413EB9B2}"/>
    <hyperlink ref="C49" r:id="rId177" xr:uid="{48D8842A-A0CE-4906-84E1-12AE173954A2}"/>
    <hyperlink ref="C15" r:id="rId178" xr:uid="{7EEA1A17-8356-43DD-8296-1189F2A63323}"/>
    <hyperlink ref="C16" r:id="rId179" xr:uid="{0A3C94C4-978B-4677-9B77-8BCD4FC54676}"/>
    <hyperlink ref="C17" r:id="rId180" xr:uid="{A2B0E70A-34ED-45EB-B6CF-2A21D68B0A6D}"/>
    <hyperlink ref="C50" r:id="rId181" xr:uid="{2094CBE1-D208-4594-8EE8-4D7EBA0473A3}"/>
    <hyperlink ref="C73" r:id="rId182" xr:uid="{D150AFCB-8DEA-495C-B468-B041807C285D}"/>
    <hyperlink ref="C79" r:id="rId183" xr:uid="{692A6DD4-B3C5-41F4-8D74-FC5E68C27120}"/>
    <hyperlink ref="C10" r:id="rId184" xr:uid="{8FFD01CB-0491-4689-A268-B516892194D6}"/>
    <hyperlink ref="D22" r:id="rId185" xr:uid="{F311E86E-280F-49EB-A84B-24D6ED7FEF2D}"/>
    <hyperlink ref="D31" r:id="rId186" display="https://www.scopus.com/results/results.uri?sort=plf-f&amp;src=s&amp;st1=Potebnya&amp;st2=Aleksey&amp;nlo=1&amp;nlr=20&amp;nls=count-f&amp;sid=001ec1053d2796eedf35ef7a41329b27&amp;sot=anl&amp;sdt=aut&amp;sl=38&amp;s=AU-ID%28%22Potebnya%2C+Aleksey%22+60145455900%29&amp;txGid=69be0c7fa50991a6f3eb3087cd5d2395&amp;sessionSearchId=001ec1053d2796eedf35ef7a41329b27&amp;limit=10" xr:uid="{EC0810FE-6AB6-49A5-9FBE-39EC58B79886}"/>
    <hyperlink ref="D40" r:id="rId187" display="https://www.scopus.com/results/results.uri?sort=plf-f&amp;src=s&amp;st1=Sokolova&amp;st2=Nadya&amp;nlo=1&amp;nlr=20&amp;nls=count-f&amp;sid=97ce249b9c7b914a4acd930399e81b2c&amp;sot=anl&amp;sdt=aut&amp;sl=45&amp;s=AU-ID%28%22Velinova-Sokolova%2C+Nadya%22+58535771500%29&amp;txGid=7653ab75b76795bf2947a8b540d62b41&amp;sessionSearchId=97ce249b9c7b914a4acd930399e81b2c&amp;limit=10" xr:uid="{B91F77E2-F471-4DCF-966F-37773AE01B87}"/>
    <hyperlink ref="D60" r:id="rId188" display="https://www.scopus.com/results/results.uri?sort=plf-f&amp;src=s&amp;st1=Goleminova&amp;st2=Savina&amp;nlo=1&amp;nlr=20&amp;nls=count-f&amp;sid=38adc4f08307de6028215e1979e4975a&amp;sot=anl&amp;sdt=aut&amp;sl=49&amp;s=AU-ID%28%22Mihaylova-Goleminova%2C+Savina%22+58983015100%29&amp;txGid=170904c5eac818bce1788a3779ac3249&amp;sessionSearchId=38adc4f08307de6028215e1979e4975a&amp;limit=10" xr:uid="{76B05B61-C9EB-4A68-B312-F27EB913E52B}"/>
    <hyperlink ref="D59" r:id="rId189" xr:uid="{EB045FBF-EE25-4363-8106-E4405A35E2BE}"/>
    <hyperlink ref="D65" r:id="rId190" xr:uid="{2047F962-0265-4392-BDDF-1B89173192FA}"/>
    <hyperlink ref="D67" r:id="rId191" display="https://www.scopus.com/results/results.uri?sort=plf-f&amp;src=s&amp;st1=&amp;st2=&amp;nlo=1&amp;nlr=20&amp;nls=count-f&amp;sid=45457dba89d0aff3e5cf702414294e58&amp;sot=anl&amp;sdt=aut&amp;sl=36&amp;s=AU-ID%28%22Pantcheva%2C+Reni%22+58000918800%29&amp;txGid=3ce1f4c94a1da5dbc68a1b20269d7721&amp;sessionSearchId=45457dba89d0aff3e5cf702414294e58&amp;limit=10" xr:uid="{DC6721F1-C525-4E26-AF96-E0B26B7F481B}"/>
    <hyperlink ref="D18" r:id="rId192" xr:uid="{2568ADE6-B033-4E28-A2B2-D66C4D1F4410}"/>
    <hyperlink ref="D75" r:id="rId193" xr:uid="{002A0A3F-1D5D-4023-96E3-5AE072A9C90F}"/>
    <hyperlink ref="D84" r:id="rId194" xr:uid="{DE661CB1-7036-44F6-8C83-C1CCDA42DF7F}"/>
    <hyperlink ref="D5" r:id="rId195" xr:uid="{0052F5D7-8F8C-475C-91F9-44F0768494D2}"/>
    <hyperlink ref="D9" r:id="rId196" xr:uid="{64B69450-6A2A-4B7D-A884-5CAB1C2D0AE8}"/>
    <hyperlink ref="D10" r:id="rId197" xr:uid="{20482622-0797-48B5-B945-9F7EF8CD48D8}"/>
    <hyperlink ref="D11" r:id="rId198" xr:uid="{DB88FF8C-544C-4D64-BD4A-3E074F08355A}"/>
    <hyperlink ref="D13" r:id="rId199" xr:uid="{7FA0A8DA-E7CB-4FC1-8139-D3F8881D6372}"/>
    <hyperlink ref="D14" r:id="rId200" xr:uid="{8DE23215-D501-44F3-9354-27FF4726BA6A}"/>
    <hyperlink ref="D89" r:id="rId201" display="https://www.scopus.com/results/results.uri?sort=plf-f&amp;src=s&amp;st1=Raev&amp;st2=Mikhail&amp;nlo=1&amp;nlr=20&amp;nls=count-f&amp;sid=f1378e1643a3d1279fcb87c9a3e17c31&amp;sot=anl&amp;sdt=aut&amp;sl=34&amp;s=AU-ID%28%22Raev%2C+Mikhail%22+58510363100%29&amp;txGid=9883e0d6844c8167dc5f0af3d74fc794&amp;sessionSearchId=f1378e1643a3d1279fcb87c9a3e17c31&amp;limit=10" xr:uid="{FEFABB37-5838-4046-A7B0-DA11DC804F1B}"/>
    <hyperlink ref="C96" r:id="rId202" display="https://ras.nacid.bg/dissertation-preview/76485" xr:uid="{1595A789-6BD3-44A5-BBB2-EB1ED02F7DCD}"/>
    <hyperlink ref="C93" r:id="rId203" display="https://ras.nacid.bg/dissertation-preview/48034" xr:uid="{9C291080-D5A5-4BBF-9C29-1ED20158C613}"/>
    <hyperlink ref="C90" r:id="rId204" display="https://ras.nacid.bg/dissertation-preview/48034" xr:uid="{5E1BD628-A572-4739-B8BE-07324EE6509C}"/>
    <hyperlink ref="C89" r:id="rId205" display="https://ras.nacid.bg/dissertation-preview/75686" xr:uid="{A3C98F7C-AFC8-4350-AB4F-31F4E8F81FD5}"/>
    <hyperlink ref="C87" r:id="rId206" display="https://ras.nacid.bg/dissertation-preview/13336" xr:uid="{2B7DD877-74D1-4B40-BE57-7B92342C0B2B}"/>
    <hyperlink ref="C86" r:id="rId207" display="https://ras.nacid.bg/dissertation-preview/27507" xr:uid="{790EBDC8-1BA1-44A2-A18C-BDE345E79999}"/>
    <hyperlink ref="A96" r:id="rId208" display="https://www.uni-sofia.bg/index.php/bul/universitet_t/fakulteti/stopanski_fakultet/katedri_i_akademichen_s_stav/katedri/izsledovateli_r4_r3_r2_r1/linlin_ma_r1" xr:uid="{13F8EE5D-A3B0-49B0-B8F8-F9C65A93E177}"/>
    <hyperlink ref="A95" r:id="rId209" display="https://www.uni-sofia.bg/index.php/bul/universitet_t/fakulteti/stopanski_fakultet/katedri_i_akademichen_s_stav/katedri/izsledovateli_r4_r3_r2_r1/zlatan_dimitrov_r1" xr:uid="{C2653B5E-96BB-4784-B3F2-524786906099}"/>
    <hyperlink ref="A94" r:id="rId210" display="https://www.uni-sofia.bg/index.php/bul/universitet_t/fakulteti/stopanski_fakultet/katedri_i_akademichen_s_stav/katedri/izsledovateli_r4_r3_r2_r1/aneliya_stefanova_r1" xr:uid="{C9E6D979-9703-46F7-BF1B-F2AB76EDB8BD}"/>
    <hyperlink ref="A93" r:id="rId211" display="https://www.uni-sofia.bg/index.php/bul/universitet_t/fakulteti/stopanski_fakultet/katedri_i_akademichen_s_stav/katedri/izsledovateli_r4_r3_r2_r1/d_r_anna_k_osova_r1" xr:uid="{BC8A9400-BBDD-4B31-BCE8-EA209C471B22}"/>
    <hyperlink ref="A92" r:id="rId212" display="https://www.uni-sofia.bg/index.php/bul/universitet_t/fakulteti/stopanski_fakultet/katedri_i_akademichen_s_stav/katedri/izsledovateli_r4_r3_r2_r1/remina_aleksieva_r1" xr:uid="{93B17DA5-4761-41FF-BB73-16C7E4032FBF}"/>
    <hyperlink ref="A91" r:id="rId213" display="https://www.uni-sofia.bg/index.php/bul/universitet_t/fakulteti/stopanski_fakultet/katedri_i_akademichen_s_stav/katedri/izsledovateli_r4_r3_r2_r1/d_r_radostina_angelova_r2" xr:uid="{D0BD311B-B0D8-4841-BE2B-2933508784A4}"/>
    <hyperlink ref="A90" r:id="rId214" display="https://www.uni-sofia.bg/index.php/bul/universitet_t/fakulteti/stopanski_fakultet/katedri_i_akademichen_s_stav/katedri/izsledovateli_r4_r3_r2_r1/d_r_olga_ignatova_r2" xr:uid="{E3BFC0DE-83D2-4C7A-ACD1-9C91372AE5EB}"/>
    <hyperlink ref="A89" r:id="rId215" display="https://www.uni-sofia.bg/index.php/bul/universitet_t/fakulteti/stopanski_fakultet/katedri_i_akademichen_s_stav/katedri/izsledovateli_r4_r3_r2_r1/d_r_mihail_raev_r2" xr:uid="{0C5DDEC2-BB16-4565-B765-3271D5CB6781}"/>
    <hyperlink ref="A88" r:id="rId216" display="https://www.uni-sofia.bg/index.php/bul/universitet_t/fakulteti/stopanski_fakultet/katedri_i_akademichen_s_stav/katedri/izsledovateli_r4_r3_r2_r1/d_r_daniel_nigohosyan_r2" xr:uid="{45189C68-CCE3-4377-BEE5-9D15459A439C}"/>
    <hyperlink ref="A87" r:id="rId217" display="https://www.uni-sofia.bg/index.php/bul/universitet_t/fakulteti/stopanski_fakultet/katedri_i_akademichen_s_stav/katedri/izsledovateli_r4_r3_r2_r1/prof_d_ik_n_zhelyu_vladimirov_r4" xr:uid="{867722A6-A415-4F1D-90D3-058EE725AF72}"/>
    <hyperlink ref="A86" r:id="rId218" display="https://www.uni-sofia.bg/index.php/bul/universitet_t/fakulteti/stopanski_fakultet/katedri_i_akademichen_s_stav/katedri/izsledovateli_r4_r3_r2_r1/prof_d_r_albena_vucova_r4" xr:uid="{77B0EEB4-DB75-407B-A87C-A5C6D0373E00}"/>
    <hyperlink ref="C60" r:id="rId219" xr:uid="{1C4AE128-8605-47D6-8BD9-429FB2EF0CFB}"/>
    <hyperlink ref="C2" r:id="rId220" xr:uid="{0190A34C-5CDA-4B1D-97DA-973D21196911}"/>
    <hyperlink ref="C59" r:id="rId221" xr:uid="{0A2F32DA-9056-4A37-BDC9-A4FBCD3CD334}"/>
  </hyperlinks>
  <pageMargins left="0.7" right="0.7" top="0.75" bottom="0.75" header="0.3" footer="0.3"/>
  <pageSetup orientation="portrait" r:id="rId222"/>
  <legacyDrawing r:id="rId223"/>
  <tableParts count="1">
    <tablePart r:id="rId2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D10B-5A8C-4018-BBCD-384849EF9C1E}">
  <dimension ref="A1:J3"/>
  <sheetViews>
    <sheetView zoomScale="65" zoomScaleNormal="120" workbookViewId="0">
      <selection activeCell="D3" sqref="D3"/>
    </sheetView>
  </sheetViews>
  <sheetFormatPr defaultRowHeight="14.4" x14ac:dyDescent="0.3"/>
  <cols>
    <col min="1" max="1" width="11.21875" customWidth="1"/>
    <col min="5" max="5" width="10.21875" customWidth="1"/>
  </cols>
  <sheetData>
    <row r="1" spans="1:10" ht="61.2" customHeight="1" x14ac:dyDescent="0.3">
      <c r="B1" s="19" t="s">
        <v>279</v>
      </c>
      <c r="C1" s="19" t="s">
        <v>280</v>
      </c>
      <c r="D1" s="19" t="s">
        <v>281</v>
      </c>
      <c r="E1" s="19" t="s">
        <v>329</v>
      </c>
      <c r="F1" s="19" t="s">
        <v>385</v>
      </c>
      <c r="G1" s="19" t="s">
        <v>323</v>
      </c>
      <c r="H1" s="19" t="s">
        <v>324</v>
      </c>
      <c r="I1" s="19" t="s">
        <v>325</v>
      </c>
      <c r="J1" s="19" t="s">
        <v>326</v>
      </c>
    </row>
    <row r="2" spans="1:10" ht="43.2" x14ac:dyDescent="0.3">
      <c r="A2" s="16" t="s">
        <v>278</v>
      </c>
      <c r="B2" s="11">
        <f>AVERAGE(main_database!O2:O17)</f>
        <v>0.625</v>
      </c>
      <c r="C2" s="11">
        <f>AVERAGE(main_database!O18:O36)</f>
        <v>0.63157894736842102</v>
      </c>
      <c r="D2" s="11">
        <f>AVERAGE(main_database!O37:O50)</f>
        <v>0.5</v>
      </c>
      <c r="E2" s="11">
        <f>AVERAGE(main_database!O51:O68)</f>
        <v>0.5</v>
      </c>
      <c r="F2" s="11">
        <f>AVERAGE(main_database!O69:O84)</f>
        <v>0.5625</v>
      </c>
      <c r="G2" s="11">
        <f>AVERAGE('Висша администрация'!B2:B9)</f>
        <v>0.875</v>
      </c>
      <c r="H2" s="11">
        <f>AVERAGE('общо събрание'!B2:B31)</f>
        <v>0.52631578947368418</v>
      </c>
      <c r="I2" s="11">
        <f>AVERAGE(' Учебната комисия'!B2:B13)</f>
        <v>0.9</v>
      </c>
      <c r="J2" s="11">
        <f>AVERAGE('комисия по атестация'!A2:B12)</f>
        <v>0.7142857142857143</v>
      </c>
    </row>
    <row r="3" spans="1:10" ht="57.6" x14ac:dyDescent="0.3">
      <c r="A3" s="17" t="s">
        <v>327</v>
      </c>
      <c r="B3" s="18">
        <f>AVERAGE(main_database!P2:P17)</f>
        <v>0.5625</v>
      </c>
      <c r="C3" s="18">
        <f>AVERAGE(main_database!P18:P36)</f>
        <v>0.42105263157894735</v>
      </c>
      <c r="D3" s="18">
        <f>AVERAGE(main_database!P37:P50)</f>
        <v>0.42857142857142855</v>
      </c>
      <c r="E3" s="18">
        <f>AVERAGE(main_database!P51:P68)</f>
        <v>0.33333333333333331</v>
      </c>
      <c r="F3" s="18">
        <f>AVERAGE(main_database!P69:P84)</f>
        <v>0.375</v>
      </c>
      <c r="G3" s="18">
        <v>0.625</v>
      </c>
      <c r="H3" s="18">
        <f>AVERAGE('общо събрание'!C2:C31)</f>
        <v>0.42105263157894735</v>
      </c>
      <c r="I3" s="18">
        <f>AVERAGE(' Учебната комисия'!C2:C13)</f>
        <v>0.7</v>
      </c>
      <c r="J3" s="18">
        <v>0.7142857142857143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EA07-99CA-4896-A5A9-49FB92FD9771}">
  <dimension ref="A1:D10"/>
  <sheetViews>
    <sheetView workbookViewId="0">
      <selection activeCell="B4" sqref="B4"/>
    </sheetView>
  </sheetViews>
  <sheetFormatPr defaultRowHeight="14.4" x14ac:dyDescent="0.3"/>
  <cols>
    <col min="1" max="1" width="33" customWidth="1"/>
  </cols>
  <sheetData>
    <row r="1" spans="1:4" x14ac:dyDescent="0.3">
      <c r="B1" t="s">
        <v>165</v>
      </c>
    </row>
    <row r="2" spans="1:4" x14ac:dyDescent="0.3">
      <c r="A2" s="1" t="s">
        <v>107</v>
      </c>
      <c r="B2">
        <v>1</v>
      </c>
      <c r="C2">
        <v>1</v>
      </c>
    </row>
    <row r="3" spans="1:4" ht="32.4" customHeight="1" x14ac:dyDescent="0.3">
      <c r="A3" s="10" t="s">
        <v>108</v>
      </c>
      <c r="B3">
        <v>1</v>
      </c>
      <c r="C3">
        <v>1</v>
      </c>
    </row>
    <row r="4" spans="1:4" ht="54.6" customHeight="1" x14ac:dyDescent="0.3">
      <c r="A4" s="10" t="s">
        <v>109</v>
      </c>
      <c r="B4">
        <v>0</v>
      </c>
      <c r="C4">
        <v>0</v>
      </c>
    </row>
    <row r="5" spans="1:4" ht="51.6" customHeight="1" x14ac:dyDescent="0.3">
      <c r="A5" s="10" t="s">
        <v>110</v>
      </c>
      <c r="B5">
        <v>1</v>
      </c>
      <c r="C5">
        <f>main_database!P24</f>
        <v>0</v>
      </c>
    </row>
    <row r="6" spans="1:4" ht="34.799999999999997" customHeight="1" x14ac:dyDescent="0.3">
      <c r="A6" s="10" t="s">
        <v>111</v>
      </c>
      <c r="B6">
        <v>1</v>
      </c>
      <c r="C6">
        <v>1</v>
      </c>
      <c r="D6" s="2" t="s">
        <v>328</v>
      </c>
    </row>
    <row r="7" spans="1:4" ht="51.6" customHeight="1" x14ac:dyDescent="0.3">
      <c r="A7" s="10" t="s">
        <v>112</v>
      </c>
      <c r="B7">
        <v>1</v>
      </c>
      <c r="C7">
        <v>1</v>
      </c>
    </row>
    <row r="8" spans="1:4" ht="43.2" x14ac:dyDescent="0.3">
      <c r="A8" s="10" t="s">
        <v>113</v>
      </c>
      <c r="B8">
        <v>1</v>
      </c>
      <c r="C8">
        <v>0</v>
      </c>
    </row>
    <row r="9" spans="1:4" ht="49.8" customHeight="1" x14ac:dyDescent="0.3">
      <c r="A9" s="10" t="s">
        <v>114</v>
      </c>
      <c r="B9">
        <v>1</v>
      </c>
      <c r="C9">
        <v>1</v>
      </c>
    </row>
    <row r="10" spans="1:4" x14ac:dyDescent="0.3">
      <c r="B10" s="11">
        <f>AVERAGE(B2:B9)</f>
        <v>0.875</v>
      </c>
      <c r="C10" s="11">
        <f>AVERAGE(C2:C9)</f>
        <v>0.625</v>
      </c>
    </row>
  </sheetData>
  <hyperlinks>
    <hyperlink ref="A2" r:id="rId1" display="https://www.uni-sofia.bg/index.php/bul/universitet_t/fakulteti/stopanski_fakultet/katedri_i_akademichen_s_stav/katedri/ikonomika_i_upravlenie_po_otrasli/prepodavateli_katedra_ikonomika_i_upravlenie_po_otrasli/doc_d_r_atanas_georgiev_dekan" xr:uid="{0FFDA6B3-77EC-4168-909A-9D07422549FB}"/>
    <hyperlink ref="A3" r:id="rId2" display="https://www.uni-sofia.bg/index.php/bul/universitet_t/fakulteti/stopanski_fakultet/katedri_i_akademichen_s_stav/katedri/ikonomika/prepodavateli_katedra_ikonomika/doc_d_r_dimit_r_zlatinov_r_kovoditel_katedra" xr:uid="{0F95FBBE-6B83-4AB6-B41E-79FCCA457C13}"/>
    <hyperlink ref="A4" r:id="rId3" display="https://www.uni-sofia.bg/index.php/bul/universitet_t/fakulteti/stopanski_fakultet/katedri_i_akademichen_s_stav/katedri/finansi_i_schetovodstvo/prepodavateli_katedra_finansi_i_schetovodstvo/doc_d_r_marselen_jovogan" xr:uid="{28E7D54D-543A-4BBB-91F8-0C6BF0721C1A}"/>
    <hyperlink ref="A5" r:id="rId4" display="https://www.uni-sofia.bg/index.php/bul/universitet_t/fakulteti/stopanski_fakultet/katedri_i_akademichen_s_stav/katedri/stopansko_upravlenie/prepodavateli_katedra_stopansko_upravlenie/doc_d_r_todor_yal_mov" xr:uid="{0BC80875-1DE2-44C2-B53E-4538696E4769}"/>
    <hyperlink ref="A6" r:id="rId5" display="https://www.uni-sofia.bg/index.php/bul/universitet_t/fakulteti/stopanski_fakultet/katedri_i_akademichen_s_stav/katedri/statistika_i_ikonometriya/prepodavateli_katedra_statistika_i_ikonometriya/doc_d_r_nikolaj_netov_r_kovoditel_katedra" xr:uid="{328647CA-FFCF-4676-A65D-D8EE4CC2A4EF}"/>
    <hyperlink ref="A7" r:id="rId6" display="https://www.uni-sofia.bg/index.php/bul/universitet_t/fakulteti/stopanski_fakultet/katedri_i_akademichen_s_stav/katedri/stopansko_upravlenie/prepodavateli_katedra_stopansko_upravlenie/doc_d_r_ivan_angelov" xr:uid="{2599ED96-1496-441D-85FE-470859EA8858}"/>
    <hyperlink ref="A8" r:id="rId7" display="https://www.uni-sofia.bg/index.php/bul/universitet_t/fakulteti/stopanski_fakultet/katedri_i_akademichen_s_stav/katedri/ikonomika_i_upravlenie_po_otrasli/prepodavateli_katedra_ikonomika_i_upravlenie_po_otrasli/doc_d_r_marina_stefanova_r_kovoditel_katedra" xr:uid="{8414B369-634E-4D44-A10C-6E22E9A3AD4D}"/>
    <hyperlink ref="A9" r:id="rId8" display="https://www.uni-sofia.bg/index.php/bul/universitet_t/fakulteti/stopanski_fakultet/katedri_i_akademichen_s_stav/katedri/ikonomika/prepodavateli_katedra_ikonomika/gl_as_d_r_iliya_atanasov" xr:uid="{2426153D-868E-42C3-8E94-51E30C17AA62}"/>
    <hyperlink ref="D6" r:id="rId9" xr:uid="{88DC7EAA-FF7C-4227-964A-1CC8564E827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36BC-3271-431D-8891-2C6C4CE20E6A}">
  <dimension ref="A1:C31"/>
  <sheetViews>
    <sheetView workbookViewId="0">
      <selection activeCell="A22" sqref="A22"/>
    </sheetView>
  </sheetViews>
  <sheetFormatPr defaultRowHeight="14.4" x14ac:dyDescent="0.3"/>
  <cols>
    <col min="1" max="1" width="62.5546875" customWidth="1"/>
  </cols>
  <sheetData>
    <row r="1" spans="1:3" x14ac:dyDescent="0.3">
      <c r="A1" t="s">
        <v>115</v>
      </c>
    </row>
    <row r="2" spans="1:3" x14ac:dyDescent="0.3">
      <c r="A2" t="s">
        <v>116</v>
      </c>
      <c r="B2">
        <v>0</v>
      </c>
      <c r="C2">
        <v>0</v>
      </c>
    </row>
    <row r="4" spans="1:3" x14ac:dyDescent="0.3">
      <c r="A4" t="s">
        <v>117</v>
      </c>
    </row>
    <row r="5" spans="1:3" x14ac:dyDescent="0.3">
      <c r="A5" t="s">
        <v>118</v>
      </c>
      <c r="B5">
        <v>0</v>
      </c>
      <c r="C5">
        <v>0</v>
      </c>
    </row>
    <row r="7" spans="1:3" x14ac:dyDescent="0.3">
      <c r="A7" t="s">
        <v>119</v>
      </c>
    </row>
    <row r="8" spans="1:3" x14ac:dyDescent="0.3">
      <c r="A8" t="s">
        <v>120</v>
      </c>
      <c r="B8">
        <v>0</v>
      </c>
      <c r="C8">
        <v>0</v>
      </c>
    </row>
    <row r="9" spans="1:3" x14ac:dyDescent="0.3">
      <c r="A9" t="s">
        <v>121</v>
      </c>
      <c r="B9">
        <v>1</v>
      </c>
      <c r="C9">
        <v>1</v>
      </c>
    </row>
    <row r="10" spans="1:3" x14ac:dyDescent="0.3">
      <c r="A10" t="s">
        <v>122</v>
      </c>
    </row>
    <row r="11" spans="1:3" x14ac:dyDescent="0.3">
      <c r="A11" t="s">
        <v>123</v>
      </c>
      <c r="B11">
        <v>1</v>
      </c>
      <c r="C11">
        <f>main_database!P28</f>
        <v>0</v>
      </c>
    </row>
    <row r="12" spans="1:3" x14ac:dyDescent="0.3">
      <c r="A12" t="s">
        <v>124</v>
      </c>
      <c r="B12">
        <v>1</v>
      </c>
      <c r="C12">
        <v>1</v>
      </c>
    </row>
    <row r="13" spans="1:3" x14ac:dyDescent="0.3">
      <c r="A13" t="s">
        <v>125</v>
      </c>
      <c r="B13">
        <v>1</v>
      </c>
      <c r="C13">
        <v>1</v>
      </c>
    </row>
    <row r="15" spans="1:3" x14ac:dyDescent="0.3">
      <c r="A15" t="s">
        <v>126</v>
      </c>
    </row>
    <row r="16" spans="1:3" x14ac:dyDescent="0.3">
      <c r="A16" t="s">
        <v>127</v>
      </c>
      <c r="B16">
        <v>0</v>
      </c>
      <c r="C16">
        <v>0</v>
      </c>
    </row>
    <row r="17" spans="1:3" x14ac:dyDescent="0.3">
      <c r="A17" t="s">
        <v>128</v>
      </c>
      <c r="B17">
        <v>1</v>
      </c>
      <c r="C17">
        <v>1</v>
      </c>
    </row>
    <row r="18" spans="1:3" x14ac:dyDescent="0.3">
      <c r="A18" t="s">
        <v>122</v>
      </c>
    </row>
    <row r="19" spans="1:3" x14ac:dyDescent="0.3">
      <c r="A19" t="s">
        <v>129</v>
      </c>
      <c r="B19">
        <v>1</v>
      </c>
      <c r="C19">
        <v>1</v>
      </c>
    </row>
    <row r="20" spans="1:3" x14ac:dyDescent="0.3">
      <c r="A20" t="s">
        <v>130</v>
      </c>
      <c r="B20">
        <v>0</v>
      </c>
      <c r="C20">
        <v>0</v>
      </c>
    </row>
    <row r="21" spans="1:3" x14ac:dyDescent="0.3">
      <c r="A21" t="s">
        <v>131</v>
      </c>
      <c r="B21">
        <v>1</v>
      </c>
      <c r="C21">
        <v>1</v>
      </c>
    </row>
    <row r="23" spans="1:3" x14ac:dyDescent="0.3">
      <c r="A23" t="s">
        <v>132</v>
      </c>
    </row>
    <row r="24" spans="1:3" x14ac:dyDescent="0.3">
      <c r="A24" t="s">
        <v>133</v>
      </c>
      <c r="B24">
        <v>1</v>
      </c>
      <c r="C24">
        <v>1</v>
      </c>
    </row>
    <row r="25" spans="1:3" x14ac:dyDescent="0.3">
      <c r="A25" t="s">
        <v>134</v>
      </c>
      <c r="B25">
        <v>0</v>
      </c>
      <c r="C25">
        <v>0</v>
      </c>
    </row>
    <row r="26" spans="1:3" x14ac:dyDescent="0.3">
      <c r="A26" t="s">
        <v>122</v>
      </c>
    </row>
    <row r="27" spans="1:3" x14ac:dyDescent="0.3">
      <c r="A27" t="s">
        <v>135</v>
      </c>
      <c r="B27">
        <v>1</v>
      </c>
      <c r="C27">
        <v>0</v>
      </c>
    </row>
    <row r="28" spans="1:3" x14ac:dyDescent="0.3">
      <c r="A28" t="s">
        <v>136</v>
      </c>
      <c r="B28">
        <v>0</v>
      </c>
      <c r="C28">
        <v>0</v>
      </c>
    </row>
    <row r="29" spans="1:3" x14ac:dyDescent="0.3">
      <c r="A29" t="s">
        <v>137</v>
      </c>
      <c r="B29">
        <v>0</v>
      </c>
      <c r="C29">
        <v>0</v>
      </c>
    </row>
    <row r="30" spans="1:3" x14ac:dyDescent="0.3">
      <c r="A30" t="s">
        <v>138</v>
      </c>
      <c r="B30">
        <v>0</v>
      </c>
      <c r="C30">
        <v>0</v>
      </c>
    </row>
    <row r="31" spans="1:3" x14ac:dyDescent="0.3">
      <c r="A31" t="s">
        <v>139</v>
      </c>
      <c r="B31">
        <v>1</v>
      </c>
      <c r="C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4E56-1A7B-4403-9F39-DACA15C53079}">
  <dimension ref="A1:C19"/>
  <sheetViews>
    <sheetView workbookViewId="0">
      <selection activeCell="D22" sqref="D22"/>
    </sheetView>
  </sheetViews>
  <sheetFormatPr defaultRowHeight="14.4" x14ac:dyDescent="0.3"/>
  <cols>
    <col min="1" max="1" width="102" customWidth="1"/>
  </cols>
  <sheetData>
    <row r="1" spans="1:3" x14ac:dyDescent="0.3">
      <c r="A1" t="s">
        <v>140</v>
      </c>
    </row>
    <row r="2" spans="1:3" x14ac:dyDescent="0.3">
      <c r="A2" t="s">
        <v>141</v>
      </c>
      <c r="B2">
        <v>1</v>
      </c>
      <c r="C2">
        <v>1</v>
      </c>
    </row>
    <row r="4" spans="1:3" x14ac:dyDescent="0.3">
      <c r="A4" t="s">
        <v>122</v>
      </c>
    </row>
    <row r="5" spans="1:3" x14ac:dyDescent="0.3">
      <c r="A5" t="s">
        <v>142</v>
      </c>
      <c r="B5">
        <v>1</v>
      </c>
      <c r="C5">
        <v>1</v>
      </c>
    </row>
    <row r="6" spans="1:3" x14ac:dyDescent="0.3">
      <c r="A6" t="s">
        <v>143</v>
      </c>
      <c r="B6">
        <v>1</v>
      </c>
      <c r="C6">
        <v>1</v>
      </c>
    </row>
    <row r="7" spans="1:3" x14ac:dyDescent="0.3">
      <c r="A7" t="s">
        <v>144</v>
      </c>
      <c r="B7">
        <v>1</v>
      </c>
      <c r="C7">
        <v>0</v>
      </c>
    </row>
    <row r="8" spans="1:3" x14ac:dyDescent="0.3">
      <c r="A8" t="s">
        <v>145</v>
      </c>
      <c r="B8">
        <v>1</v>
      </c>
      <c r="C8">
        <v>1</v>
      </c>
    </row>
    <row r="9" spans="1:3" x14ac:dyDescent="0.3">
      <c r="A9" t="s">
        <v>146</v>
      </c>
      <c r="B9">
        <v>1</v>
      </c>
      <c r="C9">
        <v>1</v>
      </c>
    </row>
    <row r="10" spans="1:3" x14ac:dyDescent="0.3">
      <c r="A10" t="s">
        <v>147</v>
      </c>
      <c r="B10">
        <v>1</v>
      </c>
      <c r="C10">
        <v>0</v>
      </c>
    </row>
    <row r="11" spans="1:3" x14ac:dyDescent="0.3">
      <c r="A11" t="s">
        <v>148</v>
      </c>
      <c r="B11">
        <v>1</v>
      </c>
      <c r="C11">
        <v>1</v>
      </c>
    </row>
    <row r="12" spans="1:3" x14ac:dyDescent="0.3">
      <c r="A12" t="s">
        <v>149</v>
      </c>
      <c r="B12">
        <v>1</v>
      </c>
      <c r="C12">
        <v>1</v>
      </c>
    </row>
    <row r="13" spans="1:3" x14ac:dyDescent="0.3">
      <c r="A13" t="s">
        <v>150</v>
      </c>
      <c r="B13">
        <v>0</v>
      </c>
      <c r="C13">
        <v>0</v>
      </c>
    </row>
    <row r="15" spans="1:3" x14ac:dyDescent="0.3">
      <c r="A15" t="s">
        <v>151</v>
      </c>
      <c r="B15">
        <v>0</v>
      </c>
    </row>
    <row r="17" spans="1:2" x14ac:dyDescent="0.3">
      <c r="A17" t="s">
        <v>152</v>
      </c>
      <c r="B17">
        <v>0</v>
      </c>
    </row>
    <row r="18" spans="1:2" x14ac:dyDescent="0.3">
      <c r="A18" t="s">
        <v>163</v>
      </c>
      <c r="B18">
        <f>AVERAGE(B1:B17)</f>
        <v>0.75</v>
      </c>
    </row>
    <row r="19" spans="1:2" x14ac:dyDescent="0.3">
      <c r="A19" t="s">
        <v>164</v>
      </c>
      <c r="B19">
        <f>AVERAGE(B2:B13)</f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2357-44EA-4A61-8F70-D829CC7F30A4}">
  <dimension ref="A1:B13"/>
  <sheetViews>
    <sheetView workbookViewId="0">
      <selection activeCell="D18" sqref="D18"/>
    </sheetView>
  </sheetViews>
  <sheetFormatPr defaultRowHeight="14.4" x14ac:dyDescent="0.3"/>
  <cols>
    <col min="1" max="1" width="40.6640625" customWidth="1"/>
  </cols>
  <sheetData>
    <row r="1" spans="1:2" x14ac:dyDescent="0.3">
      <c r="A1" s="68" t="s">
        <v>153</v>
      </c>
      <c r="B1" s="68"/>
    </row>
    <row r="2" spans="1:2" x14ac:dyDescent="0.3">
      <c r="A2" t="s">
        <v>154</v>
      </c>
      <c r="B2">
        <v>1</v>
      </c>
    </row>
    <row r="4" spans="1:2" x14ac:dyDescent="0.3">
      <c r="A4" s="68" t="s">
        <v>155</v>
      </c>
      <c r="B4" s="68"/>
    </row>
    <row r="5" spans="1:2" x14ac:dyDescent="0.3">
      <c r="A5" t="s">
        <v>156</v>
      </c>
      <c r="B5">
        <v>0</v>
      </c>
    </row>
    <row r="7" spans="1:2" x14ac:dyDescent="0.3">
      <c r="A7" s="68" t="s">
        <v>162</v>
      </c>
      <c r="B7" s="68"/>
    </row>
    <row r="8" spans="1:2" x14ac:dyDescent="0.3">
      <c r="A8" t="s">
        <v>157</v>
      </c>
      <c r="B8">
        <v>1</v>
      </c>
    </row>
    <row r="9" spans="1:2" x14ac:dyDescent="0.3">
      <c r="A9" t="s">
        <v>158</v>
      </c>
      <c r="B9">
        <v>0</v>
      </c>
    </row>
    <row r="10" spans="1:2" x14ac:dyDescent="0.3">
      <c r="A10" t="s">
        <v>159</v>
      </c>
      <c r="B10">
        <v>1</v>
      </c>
    </row>
    <row r="11" spans="1:2" x14ac:dyDescent="0.3">
      <c r="A11" t="s">
        <v>160</v>
      </c>
      <c r="B11">
        <v>1</v>
      </c>
    </row>
    <row r="12" spans="1:2" x14ac:dyDescent="0.3">
      <c r="A12" t="s">
        <v>161</v>
      </c>
      <c r="B12">
        <v>1</v>
      </c>
    </row>
    <row r="13" spans="1:2" x14ac:dyDescent="0.3">
      <c r="B13" s="11">
        <f>AVERAGE(B2:B12)</f>
        <v>0.7142857142857143</v>
      </c>
    </row>
  </sheetData>
  <mergeCells count="3">
    <mergeCell ref="A7:B7"/>
    <mergeCell ref="A4:B4"/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5A15-A294-4939-8B70-C896BB4F293C}">
  <dimension ref="A1:A36"/>
  <sheetViews>
    <sheetView topLeftCell="A74" workbookViewId="0">
      <selection activeCell="A5" sqref="A5"/>
    </sheetView>
  </sheetViews>
  <sheetFormatPr defaultRowHeight="14.4" x14ac:dyDescent="0.3"/>
  <cols>
    <col min="1" max="1" width="39.88671875" customWidth="1"/>
  </cols>
  <sheetData>
    <row r="1" spans="1:1" ht="18" customHeight="1" thickBot="1" x14ac:dyDescent="0.35">
      <c r="A1" s="5" t="s">
        <v>75</v>
      </c>
    </row>
    <row r="2" spans="1:1" ht="24.6" customHeight="1" thickBot="1" x14ac:dyDescent="0.35">
      <c r="A2" s="4" t="s">
        <v>76</v>
      </c>
    </row>
    <row r="3" spans="1:1" ht="18" customHeight="1" thickBot="1" x14ac:dyDescent="0.35">
      <c r="A3" s="6" t="s">
        <v>77</v>
      </c>
    </row>
    <row r="4" spans="1:1" ht="17.399999999999999" customHeight="1" thickBot="1" x14ac:dyDescent="0.35">
      <c r="A4" s="7" t="s">
        <v>78</v>
      </c>
    </row>
    <row r="5" spans="1:1" ht="31.8" customHeight="1" thickBot="1" x14ac:dyDescent="0.35">
      <c r="A5" s="6" t="s">
        <v>79</v>
      </c>
    </row>
    <row r="6" spans="1:1" ht="20.399999999999999" customHeight="1" thickBot="1" x14ac:dyDescent="0.35">
      <c r="A6" s="4" t="s">
        <v>80</v>
      </c>
    </row>
    <row r="7" spans="1:1" ht="18" customHeight="1" thickBot="1" x14ac:dyDescent="0.35">
      <c r="A7" s="6" t="s">
        <v>81</v>
      </c>
    </row>
    <row r="8" spans="1:1" ht="36" customHeight="1" thickBot="1" x14ac:dyDescent="0.35">
      <c r="A8" s="4" t="s">
        <v>82</v>
      </c>
    </row>
    <row r="9" spans="1:1" ht="18.600000000000001" customHeight="1" thickBot="1" x14ac:dyDescent="0.35">
      <c r="A9" s="6" t="s">
        <v>83</v>
      </c>
    </row>
    <row r="10" spans="1:1" ht="19.2" customHeight="1" thickBot="1" x14ac:dyDescent="0.35">
      <c r="A10" s="4" t="s">
        <v>84</v>
      </c>
    </row>
    <row r="11" spans="1:1" ht="15" thickBot="1" x14ac:dyDescent="0.35">
      <c r="A11" s="12" t="s">
        <v>83</v>
      </c>
    </row>
    <row r="12" spans="1:1" ht="15" thickBot="1" x14ac:dyDescent="0.35">
      <c r="A12" s="4" t="s">
        <v>85</v>
      </c>
    </row>
    <row r="13" spans="1:1" ht="14.4" customHeight="1" thickBot="1" x14ac:dyDescent="0.35">
      <c r="A13" s="13" t="s">
        <v>86</v>
      </c>
    </row>
    <row r="14" spans="1:1" ht="15" thickBot="1" x14ac:dyDescent="0.35">
      <c r="A14" s="4" t="s">
        <v>87</v>
      </c>
    </row>
    <row r="15" spans="1:1" ht="12.6" customHeight="1" thickBot="1" x14ac:dyDescent="0.35">
      <c r="A15" s="6" t="s">
        <v>86</v>
      </c>
    </row>
    <row r="16" spans="1:1" ht="15" thickBot="1" x14ac:dyDescent="0.35">
      <c r="A16" s="4" t="s">
        <v>88</v>
      </c>
    </row>
    <row r="17" spans="1:1" ht="15.6" customHeight="1" thickBot="1" x14ac:dyDescent="0.35">
      <c r="A17" s="13" t="s">
        <v>86</v>
      </c>
    </row>
    <row r="18" spans="1:1" ht="15" thickBot="1" x14ac:dyDescent="0.35">
      <c r="A18" s="4" t="s">
        <v>89</v>
      </c>
    </row>
    <row r="19" spans="1:1" ht="12.6" customHeight="1" thickBot="1" x14ac:dyDescent="0.35">
      <c r="A19" s="13" t="s">
        <v>86</v>
      </c>
    </row>
    <row r="20" spans="1:1" ht="18" customHeight="1" thickBot="1" x14ac:dyDescent="0.35">
      <c r="A20" s="4" t="s">
        <v>90</v>
      </c>
    </row>
    <row r="21" spans="1:1" ht="15" thickBot="1" x14ac:dyDescent="0.35">
      <c r="A21" s="6" t="s">
        <v>91</v>
      </c>
    </row>
    <row r="22" spans="1:1" ht="18" customHeight="1" thickBot="1" x14ac:dyDescent="0.35">
      <c r="A22" s="4" t="s">
        <v>92</v>
      </c>
    </row>
    <row r="23" spans="1:1" ht="18.600000000000001" thickBot="1" x14ac:dyDescent="0.35">
      <c r="A23" s="8" t="s">
        <v>93</v>
      </c>
    </row>
    <row r="24" spans="1:1" ht="27" customHeight="1" thickBot="1" x14ac:dyDescent="0.35">
      <c r="A24" s="6" t="s">
        <v>94</v>
      </c>
    </row>
    <row r="25" spans="1:1" ht="18" customHeight="1" thickBot="1" x14ac:dyDescent="0.35">
      <c r="A25" s="4" t="s">
        <v>95</v>
      </c>
    </row>
    <row r="26" spans="1:1" ht="15" thickBot="1" x14ac:dyDescent="0.35">
      <c r="A26" s="4" t="s">
        <v>96</v>
      </c>
    </row>
    <row r="27" spans="1:1" ht="14.4" customHeight="1" thickBot="1" x14ac:dyDescent="0.35">
      <c r="A27" s="6" t="s">
        <v>97</v>
      </c>
    </row>
    <row r="28" spans="1:1" ht="18" customHeight="1" thickBot="1" x14ac:dyDescent="0.35">
      <c r="A28" s="4" t="s">
        <v>98</v>
      </c>
    </row>
    <row r="29" spans="1:1" ht="15" thickBot="1" x14ac:dyDescent="0.35">
      <c r="A29" s="6" t="s">
        <v>99</v>
      </c>
    </row>
    <row r="30" spans="1:1" ht="18" customHeight="1" thickBot="1" x14ac:dyDescent="0.35">
      <c r="A30" s="4" t="s">
        <v>100</v>
      </c>
    </row>
    <row r="31" spans="1:1" ht="15" thickBot="1" x14ac:dyDescent="0.35">
      <c r="A31" s="6" t="s">
        <v>101</v>
      </c>
    </row>
    <row r="32" spans="1:1" ht="18" customHeight="1" thickBot="1" x14ac:dyDescent="0.35">
      <c r="A32" s="4" t="s">
        <v>102</v>
      </c>
    </row>
    <row r="33" spans="1:1" ht="15" thickBot="1" x14ac:dyDescent="0.35">
      <c r="A33" s="9" t="s">
        <v>103</v>
      </c>
    </row>
    <row r="34" spans="1:1" ht="27" customHeight="1" thickBot="1" x14ac:dyDescent="0.35">
      <c r="A34" s="4" t="s">
        <v>104</v>
      </c>
    </row>
    <row r="35" spans="1:1" ht="15" thickBot="1" x14ac:dyDescent="0.35">
      <c r="A35" s="6" t="s">
        <v>105</v>
      </c>
    </row>
    <row r="36" spans="1:1" ht="18" customHeight="1" thickBot="1" x14ac:dyDescent="0.35">
      <c r="A36" s="4" t="s">
        <v>106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main_database</vt:lpstr>
      <vt:lpstr>graph</vt:lpstr>
      <vt:lpstr>Висша администрация</vt:lpstr>
      <vt:lpstr>общо събрание</vt:lpstr>
      <vt:lpstr> Учебната комисия</vt:lpstr>
      <vt:lpstr>комисия по атестация</vt:lpstr>
      <vt:lpstr>Администрация</vt:lpstr>
      <vt:lpstr>'общо събрание'!eztoc197723_2</vt:lpstr>
      <vt:lpstr>'общо събрание'!eztoc197723_3</vt:lpstr>
      <vt:lpstr>'общо събрание'!eztoc197723_4</vt:lpstr>
      <vt:lpstr>'общо събрание'!eztoc197723_5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Stoycho Rusinov</dc:creator>
  <cp:lastModifiedBy>Stoycho Rusinov</cp:lastModifiedBy>
  <cp:lastPrinted>2026-02-26T12:45:27Z</cp:lastPrinted>
  <dcterms:created xsi:type="dcterms:W3CDTF">2026-02-02T15:12:45Z</dcterms:created>
  <dcterms:modified xsi:type="dcterms:W3CDTF">2026-06-15T11:59:15Z</dcterms:modified>
</cp:coreProperties>
</file>