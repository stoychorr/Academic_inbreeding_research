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esktop\"/>
    </mc:Choice>
  </mc:AlternateContent>
  <xr:revisionPtr revIDLastSave="0" documentId="13_ncr:1_{1BD4B1B8-CFD7-46AB-A373-82AE6F9150FB}" xr6:coauthVersionLast="36" xr6:coauthVersionMax="47" xr10:uidLastSave="{00000000-0000-0000-0000-000000000000}"/>
  <bookViews>
    <workbookView xWindow="0" yWindow="0" windowWidth="17256" windowHeight="6636" tabRatio="785" activeTab="1" xr2:uid="{C6FBF984-0647-43F8-9E0B-FC7BC60D6D1A}"/>
  </bookViews>
  <sheets>
    <sheet name="Scopus_filters" sheetId="8" r:id="rId1"/>
    <sheet name="main_database" sheetId="1" r:id="rId2"/>
    <sheet name="Висша администрация" sheetId="3" r:id="rId3"/>
    <sheet name="общо събрание" sheetId="4" r:id="rId4"/>
    <sheet name=" Учебната комисия" sheetId="5" r:id="rId5"/>
    <sheet name="комисия по атестация" sheetId="6" r:id="rId6"/>
  </sheets>
  <definedNames>
    <definedName name="eztoc197723_2" localSheetId="3">'общо събрание'!$A$4</definedName>
    <definedName name="eztoc197723_3" localSheetId="3">'общо събрание'!$A$7</definedName>
    <definedName name="eztoc197723_4" localSheetId="3">'общо събрание'!$A$15</definedName>
    <definedName name="eztoc197723_5" localSheetId="3">'общо събрание'!$A$23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4" l="1"/>
  <c r="B10" i="3" l="1"/>
  <c r="C5" i="3" l="1"/>
  <c r="C10" i="3" s="1"/>
  <c r="B19" i="5" l="1"/>
  <c r="B18" i="5"/>
  <c r="B13" i="6"/>
</calcChain>
</file>

<file path=xl/sharedStrings.xml><?xml version="1.0" encoding="utf-8"?>
<sst xmlns="http://schemas.openxmlformats.org/spreadsheetml/2006/main" count="361" uniqueCount="358">
  <si>
    <t>Academic_title</t>
  </si>
  <si>
    <t>Name</t>
  </si>
  <si>
    <t>Department</t>
  </si>
  <si>
    <t>YES</t>
  </si>
  <si>
    <t>NO</t>
  </si>
  <si>
    <t>NO INFO</t>
  </si>
  <si>
    <t>Доц. д-р Атанас Георгиев</t>
  </si>
  <si>
    <t>доц д-р Димитър Златинов - Зам.-декан "Учебна дейност"</t>
  </si>
  <si>
    <t> доц. д-р Марселен Йовоган - Зам.-декан "Международна дейност и университетско сътрудничество"</t>
  </si>
  <si>
    <t> доц. д-р Тодор Ялъмов - Зам.-декан "Научно-изследователската дейност, иновации и проекти"</t>
  </si>
  <si>
    <t>доц. д-р Николай Нетов- Зам.-декан "Дигитална трансформация"</t>
  </si>
  <si>
    <t>доц. д-р Иван Ангелов - Зам.-декан "MBA програми и бизнес обучения"</t>
  </si>
  <si>
    <t>доц. д-р Марина Стефанова - Зам.-декан "Устойчиво развитие, подкрепа и ангажираност"</t>
  </si>
  <si>
    <t>гл.ас. д-р Илия Атанасов - Помощник-декан "Акредитация и рейтинг"</t>
  </si>
  <si>
    <t>Председател на ОС:</t>
  </si>
  <si>
    <t>проф. д-р Надя Велинова-Соколова</t>
  </si>
  <si>
    <t>Зам.-председател на ОС:</t>
  </si>
  <si>
    <t>проф. д.н. Десислава Йорданова</t>
  </si>
  <si>
    <t>Мандатна комисия</t>
  </si>
  <si>
    <t>Председател: доц. д-р Марселен Йовоган</t>
  </si>
  <si>
    <t>Зам. председател: гл. ас. д-р Глория Христова</t>
  </si>
  <si>
    <t>Членове:</t>
  </si>
  <si>
    <t>1. доц. д-р Рая Каназирева</t>
  </si>
  <si>
    <t>2. гл. ас. д-р Илия Атанасов</t>
  </si>
  <si>
    <t>3. гл. ас. д-р Любен Иванов</t>
  </si>
  <si>
    <t>Комисия по предложенията за органи на управление на факултета</t>
  </si>
  <si>
    <t>Председател: проф. д-р Ваня Иванова</t>
  </si>
  <si>
    <t>Зам. председател: доц. д-р Божидар Недев</t>
  </si>
  <si>
    <t>1. доц. д-р Димитър Златинов</t>
  </si>
  <si>
    <t>2. доц. д-р Андрей Василев</t>
  </si>
  <si>
    <t>3. гл. ас. д-р Алексей Потебня</t>
  </si>
  <si>
    <t>Комисия по произвеждане на избори:</t>
  </si>
  <si>
    <t>Председател: доц. д-р Илияна Анкова</t>
  </si>
  <si>
    <t>Зам.-председател: доц. д-р Стела Ралева</t>
  </si>
  <si>
    <t>1. доц. д-р Цветан Мадански</t>
  </si>
  <si>
    <t>2. гл. ас. д-р Николай Кацарски</t>
  </si>
  <si>
    <t>3. гл. ас. д-р Емил Митов</t>
  </si>
  <si>
    <t>4. гл. ас. д-р Ирена Младенова</t>
  </si>
  <si>
    <t>5. гл. ас. д-р Бойко Амаров</t>
  </si>
  <si>
    <t>Председател:</t>
  </si>
  <si>
    <t>доц. д-р Димитър Златинов, Заместник-декан по учебната дейност и ръководител на катедра „Икономика“</t>
  </si>
  <si>
    <t>доц. д-р Атанас Георгиев, Декан на Стопанския факултет</t>
  </si>
  <si>
    <t>доц. д-р Божидар Недев, ръководител на катедра "Финанси и счетоводство"</t>
  </si>
  <si>
    <t>доц. д-р Марина Стефанова, ръководител на катедра "Икономика и управление по отрасли"</t>
  </si>
  <si>
    <t>доц. д-р Николай Нетов, ръководител на катедра "Статистика и иконометрия"</t>
  </si>
  <si>
    <t>доц. д-р Олимпия Ведър, ръководител на катедра „Стопанско управление“</t>
  </si>
  <si>
    <t>проф. д-р Елеонора Станчева-Тодорова, катедра "Финанси и счетоводство"</t>
  </si>
  <si>
    <t>доц. д-р Боряна Пелова, катедра "Статистика и иконометрия"</t>
  </si>
  <si>
    <t>доц. д-р Иванка Михайлова, катедра „Стопанско управление“</t>
  </si>
  <si>
    <t>доц. д-р Соня Георгиева, катедра "Икономика"</t>
  </si>
  <si>
    <t>Десислава Лещарова, Главен инспектор администрация на Стопанския факултет</t>
  </si>
  <si>
    <t>Организационен секретар: Мая Тодорова</t>
  </si>
  <si>
    <t>Председател</t>
  </si>
  <si>
    <t>проф. д.н. Антон Герунов</t>
  </si>
  <si>
    <t>Зам.-председател</t>
  </si>
  <si>
    <t>доц. д-р Стела Ралева</t>
  </si>
  <si>
    <t>1. доц. д-р Божидар Недев</t>
  </si>
  <si>
    <t>2. доц. д-р Деян Радев</t>
  </si>
  <si>
    <t>3. доц. д-р Ия Петкова</t>
  </si>
  <si>
    <t>4. доц. д-р Иванка Михайлова</t>
  </si>
  <si>
    <t>5. гл. ас. д-р Глория Христова</t>
  </si>
  <si>
    <t>Членове</t>
  </si>
  <si>
    <t xml:space="preserve">Всичко </t>
  </si>
  <si>
    <t>Без научни лица</t>
  </si>
  <si>
    <t>Indicator</t>
  </si>
  <si>
    <t>Advisor</t>
  </si>
  <si>
    <t>N/a</t>
  </si>
  <si>
    <t>AI</t>
  </si>
  <si>
    <t>PHD_Awarded</t>
  </si>
  <si>
    <t>AI_corr</t>
  </si>
  <si>
    <t>https://ras.nacid.bg/dissertation-preview/43161</t>
  </si>
  <si>
    <t>Q1_Scopus</t>
  </si>
  <si>
    <t>Scopus_all</t>
  </si>
  <si>
    <t>NACID</t>
  </si>
  <si>
    <t>Joury_head</t>
  </si>
  <si>
    <t>SCOPUS</t>
  </si>
  <si>
    <t>Only_national_collab</t>
  </si>
  <si>
    <t>International_collaboration</t>
  </si>
  <si>
    <t>Only_institutional_collaboration</t>
  </si>
  <si>
    <t xml:space="preserve">Span </t>
  </si>
  <si>
    <t>2015-2024</t>
  </si>
  <si>
    <t>All subject areas</t>
  </si>
  <si>
    <t>Ford</t>
  </si>
  <si>
    <t>Turned off</t>
  </si>
  <si>
    <t xml:space="preserve">Quartile </t>
  </si>
  <si>
    <t>SJR</t>
  </si>
  <si>
    <t>PHD_from_FP</t>
  </si>
  <si>
    <t>Gender</t>
  </si>
  <si>
    <t>F</t>
  </si>
  <si>
    <t>M</t>
  </si>
  <si>
    <t xml:space="preserve">проф. </t>
  </si>
  <si>
    <t>доц.</t>
  </si>
  <si>
    <t>гл. ас.</t>
  </si>
  <si>
    <t>ас.</t>
  </si>
  <si>
    <t>FIRST_PT_FP</t>
  </si>
  <si>
    <t>WORKED_OUTSIDE_OF_FP</t>
  </si>
  <si>
    <t>Time_from_phd_to_FP</t>
  </si>
  <si>
    <t>доц. д-р Евгени Овчаров</t>
  </si>
  <si>
    <t>доц. д-р Петко Недялков</t>
  </si>
  <si>
    <t>доц. д-р Тодор Велчев</t>
  </si>
  <si>
    <t>доц. д-р Антония Вълчева</t>
  </si>
  <si>
    <t>доц. д-р Владимир Божилов</t>
  </si>
  <si>
    <t>гл. ас. д-р Георги Петров</t>
  </si>
  <si>
    <t>гл. ас. д-р Орлин Станчев</t>
  </si>
  <si>
    <t>физик Евелина Захариева</t>
  </si>
  <si>
    <t>физик Александър Тодоров</t>
  </si>
  <si>
    <t>физик Валентина Александрова</t>
  </si>
  <si>
    <t>техн. сътр. Пенчо Маркишки</t>
  </si>
  <si>
    <t>Доц. д-р Мариян Богомилов</t>
  </si>
  <si>
    <t>Проф. дфзн Георги Райновски</t>
  </si>
  <si>
    <t>Доц. д-р Илко Русинов</t>
  </si>
  <si>
    <t>Доц. д-р Стефан Лалковски</t>
  </si>
  <si>
    <t>Доц. д-р Красимир Митев</t>
  </si>
  <si>
    <t>Доц. д-р Калин Гладнишки</t>
  </si>
  <si>
    <t>Доц. д-р Борислав Павлов</t>
  </si>
  <si>
    <t>Доц. д-р Венелин Кожухаров</t>
  </si>
  <si>
    <t>Доц. д-р Пейчо Петков</t>
  </si>
  <si>
    <t>Доц. д-р Ивелина Димитрова</t>
  </si>
  <si>
    <t>Доц. д-р Страхил Георгиев</t>
  </si>
  <si>
    <t>Доц. д-р Диана Кочева</t>
  </si>
  <si>
    <t>Гл. ас. д-р Галина Ванкова-Кирилова</t>
  </si>
  <si>
    <t>Гл. ас. д-р Мартин Джонголов</t>
  </si>
  <si>
    <t>Гл. ас. д-р Николай Петров</t>
  </si>
  <si>
    <t>Гл. ас. д-р Момчил Найденов</t>
  </si>
  <si>
    <t>Физик д-р Георги Георгиев</t>
  </si>
  <si>
    <t>Физик Васил Гурев</t>
  </si>
  <si>
    <t>Физик Татяна Младенова</t>
  </si>
  <si>
    <t>Физик Симона Илиева</t>
  </si>
  <si>
    <t>Физик Васил Вергилов</t>
  </si>
  <si>
    <t>Физик Стоян Кадалев</t>
  </si>
  <si>
    <t>проф. дфзн Александър Драйшу</t>
  </si>
  <si>
    <t>доц. д-р Иван Бъчваров</t>
  </si>
  <si>
    <t>доц. д-р Любомир Стоянов</t>
  </si>
  <si>
    <t>гл. ас. д-р Наско Горунски</t>
  </si>
  <si>
    <t>гл. ас. д-р Николай Димитров</t>
  </si>
  <si>
    <t>гл. ас. д-р Мая Жекова</t>
  </si>
  <si>
    <t>физик Веселина Салтиел</t>
  </si>
  <si>
    <t>доц. д-р Ренета Димитрова</t>
  </si>
  <si>
    <t>доц. д-р Николай Рачев</t>
  </si>
  <si>
    <t>доц. д-р Елисавета Пенева</t>
  </si>
  <si>
    <t>доц. д-р Гергана Герова</t>
  </si>
  <si>
    <t>доц. д-р Ренета Райкова</t>
  </si>
  <si>
    <t>доц. д-р Веселин Тончев</t>
  </si>
  <si>
    <t>гл. ас. д-р Милен Цеков</t>
  </si>
  <si>
    <t>гл. ас. д-р Венцислав Данчовски</t>
  </si>
  <si>
    <t>гл. ас. д-р Савка Петрова</t>
  </si>
  <si>
    <t>гл. ас. д-р Гергана Георгиева</t>
  </si>
  <si>
    <t>физик Данко Иванов</t>
  </si>
  <si>
    <t>физик д-р Люба Димова</t>
  </si>
  <si>
    <t>физик Маргрет Велизарова</t>
  </si>
  <si>
    <t>физик Елица Пандурска</t>
  </si>
  <si>
    <t>техн. сътр.Татяна Младенова</t>
  </si>
  <si>
    <t>доц. д-р Ивелина Коцева-Георгиева</t>
  </si>
  <si>
    <t>доц. д-р Христина Андреева</t>
  </si>
  <si>
    <t>гл. ас. д-р Весела Димова</t>
  </si>
  <si>
    <t>гл.ас. д-р Лъчезар Симеонов</t>
  </si>
  <si>
    <t>гл. ас. д-р Милена Стоянова</t>
  </si>
  <si>
    <t>гл. ас. д-р Александър Куртенков</t>
  </si>
  <si>
    <t>гл. ас. д-р Фабиен Кунис</t>
  </si>
  <si>
    <t>доц. д-р Христо Илиев</t>
  </si>
  <si>
    <t>проф. дфзн Виктор Иванов</t>
  </si>
  <si>
    <t>доц. д-р Пламен Петков</t>
  </si>
  <si>
    <t>доц. д-р Гергана Алексиева</t>
  </si>
  <si>
    <t>гл. ас. д-р Гошо Гоев</t>
  </si>
  <si>
    <t>гл. ас. д-р Димитър Лютов</t>
  </si>
  <si>
    <t>гл. ас. д-р Борислав Петков</t>
  </si>
  <si>
    <t>гл. ас. д-р Светлана Христова</t>
  </si>
  <si>
    <t>физик Стоянка Пешкалова</t>
  </si>
  <si>
    <t>физик Галина Деянова</t>
  </si>
  <si>
    <t>проф. дфзн Асен Пашов</t>
  </si>
  <si>
    <t>проф. дфзн Станислав Балушев</t>
  </si>
  <si>
    <t>проф. дмн Христина Видинова</t>
  </si>
  <si>
    <t>доц д-р Христина Христова, дм</t>
  </si>
  <si>
    <t>доц. д-р Георги Георгиев</t>
  </si>
  <si>
    <t>доц. д-р Елица Павлова</t>
  </si>
  <si>
    <t>гл. ас. д-р Лилия Владимирова-Михалева</t>
  </si>
  <si>
    <t>гл. ас. д-р Ивайла Божинова</t>
  </si>
  <si>
    <t>гл. ас. д-р Росица Лолова</t>
  </si>
  <si>
    <t>гл. ас. д-р Мила Тониева</t>
  </si>
  <si>
    <t>ас. д-р Велизар Стоянов</t>
  </si>
  <si>
    <t>ас. Гергана Михова</t>
  </si>
  <si>
    <t>ас. Ани Коева</t>
  </si>
  <si>
    <t>оптометрист Никола Пеев</t>
  </si>
  <si>
    <t>оптик Пламен Петров</t>
  </si>
  <si>
    <t>технически изпълнител Неда Николова</t>
  </si>
  <si>
    <t>доц. д-р Снежана Йорданова</t>
  </si>
  <si>
    <t>доц. д-р Стилиян Лишев</t>
  </si>
  <si>
    <t>доц. д-р Живко Кисьовски</t>
  </si>
  <si>
    <t>доц. д-р Емил Владков</t>
  </si>
  <si>
    <t>доц. д-р Станимир Колев</t>
  </si>
  <si>
    <t>доц. д-р Цветелина Паунска</t>
  </si>
  <si>
    <t>доц. д-р Христомир Йорданов</t>
  </si>
  <si>
    <t>гл. ас. д-р Марио Илиев</t>
  </si>
  <si>
    <t>гл. ас. д-р Васил Вачков</t>
  </si>
  <si>
    <t>ас. Христо Гелов</t>
  </si>
  <si>
    <t>физик д-р Илияна Арестова</t>
  </si>
  <si>
    <t>физик д-р Стоил Иванов</t>
  </si>
  <si>
    <t>физик Иван Иванов</t>
  </si>
  <si>
    <t>инж. Валда Левчева</t>
  </si>
  <si>
    <t>инж. Георги Попов</t>
  </si>
  <si>
    <t>доц. д-р Калин Стайков</t>
  </si>
  <si>
    <t>акад. проф. дфзн Николай Витанов</t>
  </si>
  <si>
    <t>чл. кор. проф. дфзн Стойчо Язаджиев</t>
  </si>
  <si>
    <t>проф. дфзн Радослав Рашков</t>
  </si>
  <si>
    <t>доц. дфзн Петър Иванов</t>
  </si>
  <si>
    <t>доц. дфзн Андон Рангелов</t>
  </si>
  <si>
    <t>доц. д-р Цанко Иванов</t>
  </si>
  <si>
    <t>доц. д-р Димитър Младенов</t>
  </si>
  <si>
    <t>доц. д-р Христо Димов</t>
  </si>
  <si>
    <t>доц. д-р Петя Недкова</t>
  </si>
  <si>
    <t>доц. д-р Кирил Христов</t>
  </si>
  <si>
    <t>доц. д-р Галин Гюлчев</t>
  </si>
  <si>
    <t>доц. д-р Цветан Вецов</t>
  </si>
  <si>
    <t>гл. ас. д-р Генко Василев</t>
  </si>
  <si>
    <t>гл. ас. д-р Димо Арнаудов</t>
  </si>
  <si>
    <t>гл.ас. д-р Мирослав Радомиров</t>
  </si>
  <si>
    <t>гл. ас. д-р Валентин Делийски</t>
  </si>
  <si>
    <t>физик Лидия Славова</t>
  </si>
  <si>
    <t>проф. дфзн Мирослав Абрашев</t>
  </si>
  <si>
    <t>проф. дфзн Веселин Дончев</t>
  </si>
  <si>
    <t>доц. д-р Йонка Иванова</t>
  </si>
  <si>
    <t>доц. д-р Милена Георгиева</t>
  </si>
  <si>
    <t>доц. д-р Виктор Атанасов</t>
  </si>
  <si>
    <t>доц. д-р Гичка Цуцуманова</t>
  </si>
  <si>
    <t>доц. д-р Катерина Стоичкова</t>
  </si>
  <si>
    <t>доц. д-р Петър Георгиев</t>
  </si>
  <si>
    <t>доц. д-р Светослав Иванов</t>
  </si>
  <si>
    <t>доц. д-р Кирил Кирилов</t>
  </si>
  <si>
    <t>доц. д-р Нено Тодоров</t>
  </si>
  <si>
    <t>гл. ас. д-р Йордан Кърмаков</t>
  </si>
  <si>
    <t>гл. ас. д-р Димитър Цанков</t>
  </si>
  <si>
    <t>гл. ас. д-р Андреана Андреева</t>
  </si>
  <si>
    <t>гл. ас. д-р Николай Зографов</t>
  </si>
  <si>
    <t>гл. ас. д-р Роман Атанасов</t>
  </si>
  <si>
    <t>ас. Антон Петров</t>
  </si>
  <si>
    <t>ас. д-р Васил Щерев</t>
  </si>
  <si>
    <t>физик Емилия Монова</t>
  </si>
  <si>
    <t>физик Атанас Цонев</t>
  </si>
  <si>
    <t>физик Петя Петрова</t>
  </si>
  <si>
    <t>физик Иглика Асенова</t>
  </si>
  <si>
    <t>физик Антон Зяпков</t>
  </si>
  <si>
    <t>физик Калоян Генков</t>
  </si>
  <si>
    <t>инж. физик Тома Томов</t>
  </si>
  <si>
    <t>инж. Огнян Стефанов</t>
  </si>
  <si>
    <t>електротехник Михаил Бисеров</t>
  </si>
  <si>
    <t>техник Димитър Стоичков</t>
  </si>
  <si>
    <t>https://ras.nacid.bg/dissertation-preview/25762</t>
  </si>
  <si>
    <t>https://ras.nacid.bg/dissertation-preview/22992</t>
  </si>
  <si>
    <t>https://ras.nacid.bg/dissertation-preview/27215</t>
  </si>
  <si>
    <t>https://ras.nacid.bg/dissertation-preview/25775</t>
  </si>
  <si>
    <t>https://ras.nacid.bg/dissertation-preview/41613</t>
  </si>
  <si>
    <t>https://ras.nacid.bg/dissertation-preview/39622</t>
  </si>
  <si>
    <t>https://ras.nacid.bg/dissertation-preview/46569</t>
  </si>
  <si>
    <t>https://ras.nacid.bg/dissertation-preview/27581</t>
  </si>
  <si>
    <t>https://ras.nacid.bg/dissertation-preview/2802</t>
  </si>
  <si>
    <t>https://ras.nacid.bg/dissertation-preview/2845</t>
  </si>
  <si>
    <t>https://ras.nacid.bg/dissertation-preview/26249</t>
  </si>
  <si>
    <t>https://ras.nacid.bg/dissertation-preview/36894</t>
  </si>
  <si>
    <t>https://ras.nacid.bg/dissertation-preview/29890</t>
  </si>
  <si>
    <t>https://ras.nacid.bg/dissertation-preview/30909</t>
  </si>
  <si>
    <t>https://ras.nacid.bg/dissertation-preview/27272</t>
  </si>
  <si>
    <t>https://ras.nacid.bg/dissertation-preview/25773</t>
  </si>
  <si>
    <t>https://ras.nacid.bg/dissertation-preview/38604</t>
  </si>
  <si>
    <t>https://ras.nacid.bg/dissertation-preview/39240</t>
  </si>
  <si>
    <t>https://ras.nacid.bg/dissertation-preview/47985</t>
  </si>
  <si>
    <t>https://ras.nacid.bg/dissertation-preview/36963</t>
  </si>
  <si>
    <t>https://ras.nacid.bg/dissertation-preview/42599</t>
  </si>
  <si>
    <t>https://ras.nacid.bg/dissertation-preview/41142</t>
  </si>
  <si>
    <t>https://ras.nacid.bg/dissertation-preview/66774</t>
  </si>
  <si>
    <t>https://ras.nacid.bg/dissertation-preview/23127</t>
  </si>
  <si>
    <t>https://ras.nacid.bg/dissertation-preview/15245</t>
  </si>
  <si>
    <t>https://ras.nacid.bg/dissertation-preview/43809</t>
  </si>
  <si>
    <t>https://ras.nacid.bg/dissertation-preview/40778</t>
  </si>
  <si>
    <t>https://ras.nacid.bg/dissertation-preview/41739</t>
  </si>
  <si>
    <t>https://ras.nacid.bg/dissertation-preview/66989</t>
  </si>
  <si>
    <t>https://ras.nacid.bg/dissertation-preview/27406</t>
  </si>
  <si>
    <t>https://ras.nacid.bg/dissertation-preview/3567</t>
  </si>
  <si>
    <t>https://ras.nacid.bg/dissertation-preview/25569</t>
  </si>
  <si>
    <t>https://ras.nacid.bg/dissertation-preview/40438</t>
  </si>
  <si>
    <t>https://ras.nacid.bg/dissertation-preview/29880</t>
  </si>
  <si>
    <t>https://ras.nacid.bg/dissertation-preview/23391</t>
  </si>
  <si>
    <t>https://ras.nacid.bg/dissertation-preview/28965</t>
  </si>
  <si>
    <t>https://ras.nacid.bg/dissertation-preview/39762</t>
  </si>
  <si>
    <t>https://ras.nacid.bg/dissertation-preview/39761</t>
  </si>
  <si>
    <t>https://ras.nacid.bg/dissertation-preview/41494</t>
  </si>
  <si>
    <t>https://ras.nacid.bg/dissertation-preview/49309</t>
  </si>
  <si>
    <t>https://ras.nacid.bg/dissertation-preview/44555</t>
  </si>
  <si>
    <t>https://ras.nacid.bg/dissertation-preview/27621</t>
  </si>
  <si>
    <t>https://ras.nacid.bg/dissertation-preview/26967</t>
  </si>
  <si>
    <t>https://ras.nacid.bg/dissertation-preview/45784</t>
  </si>
  <si>
    <t>https://ras.nacid.bg/dissertation-preview/68416</t>
  </si>
  <si>
    <t>https://ras.nacid.bg/dissertation-preview/46236</t>
  </si>
  <si>
    <t>https://ras.nacid.bg/dissertation-preview/73548</t>
  </si>
  <si>
    <t>https://ras.nacid.bg/dissertation-preview/39760</t>
  </si>
  <si>
    <t>https://ras.nacid.bg/dissertation-preview/23230</t>
  </si>
  <si>
    <t>https://ras.nacid.bg/dissertation-preview/44059</t>
  </si>
  <si>
    <t>https://ras.nacid.bg/dissertation-preview/40063</t>
  </si>
  <si>
    <t>https://ras.nacid.bg/dissertation-preview/29256</t>
  </si>
  <si>
    <t>https://ras.nacid.bg/dissertation-preview/47986</t>
  </si>
  <si>
    <t>https://ras.nacid.bg/dissertation-preview/67371</t>
  </si>
  <si>
    <t>https://ras.nacid.bg/dissertation-preview/60052</t>
  </si>
  <si>
    <t>https://ras.nacid.bg/dissertation-preview/37219</t>
  </si>
  <si>
    <t>https://ras.nacid.bg/dissertation-preview/3218</t>
  </si>
  <si>
    <t>https://ras.nacid.bg/dissertation-preview/28336</t>
  </si>
  <si>
    <t>https://ras.nacid.bg/dissertation-preview/23227</t>
  </si>
  <si>
    <t>https://ras.nacid.bg/dissertation-preview/29269</t>
  </si>
  <si>
    <t>https://ras.nacid.bg/dissertation-preview/28636</t>
  </si>
  <si>
    <t>https://ras.nacid.bg/dissertation-preview/37129</t>
  </si>
  <si>
    <t>https://ras.nacid.bg/dissertation-preview/46231</t>
  </si>
  <si>
    <t>https://ras.nacid.bg/dissertation-preview/42444</t>
  </si>
  <si>
    <t>https://ras.nacid.bg/dissertation-preview/55411</t>
  </si>
  <si>
    <t>https://ras.nacid.bg/dissertation-preview/76550</t>
  </si>
  <si>
    <t>https://ras.nacid.bg/dissertation-preview/70342</t>
  </si>
  <si>
    <t>https://ras.nacid.bg/dissertation-preview/69723</t>
  </si>
  <si>
    <t>https://ras.nacid.bg/dissertation-preview/29899</t>
  </si>
  <si>
    <t>https://ras.nacid.bg/dissertation-preview/23636</t>
  </si>
  <si>
    <t>https://ras.nacid.bg/dissertation-preview/23832</t>
  </si>
  <si>
    <t>https://ras.nacid.bg/dissertation-preview/27472</t>
  </si>
  <si>
    <t>https://ras.nacid.bg/dissertation-preview/26250</t>
  </si>
  <si>
    <t>https://ras.nacid.bg/dissertation-preview/46065</t>
  </si>
  <si>
    <t>https://ras.nacid.bg/dissertation-preview/44359</t>
  </si>
  <si>
    <t>https://ras.nacid.bg/dissertation-preview/43571</t>
  </si>
  <si>
    <t>https://ras.nacid.bg/dissertation-preview/75968</t>
  </si>
  <si>
    <t>https://ras.nacid.bg/dissertation-preview/45501</t>
  </si>
  <si>
    <t>https://ras.nacid.bg/dissertation-preview/15962</t>
  </si>
  <si>
    <t>https://ras.nacid.bg/dissertation-preview/23029</t>
  </si>
  <si>
    <t>https://ras.nacid.bg/dissertation-preview/13438</t>
  </si>
  <si>
    <t>https://ras.nacid.bg/dissertation-preview/28444</t>
  </si>
  <si>
    <t>https://ras.nacid.bg/dissertation-preview/27789</t>
  </si>
  <si>
    <t>https://ras.nacid.bg/dissertation-preview/13467</t>
  </si>
  <si>
    <t>https://ras.nacid.bg/dissertation-preview/2815</t>
  </si>
  <si>
    <t>https://ras.nacid.bg/dissertation-preview/26054</t>
  </si>
  <si>
    <t>https://ras.nacid.bg/dissertation-preview/39155</t>
  </si>
  <si>
    <t>https://ras.nacid.bg/dissertation-preview/44638</t>
  </si>
  <si>
    <t>https://ras.nacid.bg/dissertation-preview/37107</t>
  </si>
  <si>
    <t>https://ras.nacid.bg/dissertation-preview/43023</t>
  </si>
  <si>
    <t>https://ras.nacid.bg/dissertation-preview/25906</t>
  </si>
  <si>
    <t>https://ras.nacid.bg/dissertation-preview/39239</t>
  </si>
  <si>
    <t>https://ras.nacid.bg/dissertation-preview/69259</t>
  </si>
  <si>
    <t>https://ras.nacid.bg/dissertation-preview/71818</t>
  </si>
  <si>
    <t>https://ras.nacid.bg/dissertation-preview/15196</t>
  </si>
  <si>
    <t>https://ras.nacid.bg/dissertation-preview/31268</t>
  </si>
  <si>
    <t>https://ras.nacid.bg/dissertation-preview/16604</t>
  </si>
  <si>
    <t>https://ras.nacid.bg/dissertation-preview/30968</t>
  </si>
  <si>
    <t>https://ras.nacid.bg/dissertation-preview/28793</t>
  </si>
  <si>
    <t>https://ras.nacid.bg/dissertation-preview/30422</t>
  </si>
  <si>
    <t>https://ras.nacid.bg/dissertation-preview/45348</t>
  </si>
  <si>
    <t>https://ras.nacid.bg/dissertation-preview/37448</t>
  </si>
  <si>
    <t>https://ras.nacid.bg/dissertation-preview/30496</t>
  </si>
  <si>
    <t>https://ras.nacid.bg/dissertation-preview/41554</t>
  </si>
  <si>
    <t>https://ras.nacid.bg/dissertation-preview/28502</t>
  </si>
  <si>
    <t>https://ras.nacid.bg/dissertation-preview/27917</t>
  </si>
  <si>
    <t>https://ras.nacid.bg/dissertation-preview/27718</t>
  </si>
  <si>
    <t>https://ras.nacid.bg/dissertation-preview/45889</t>
  </si>
  <si>
    <t>https://ras.nacid.bg/dissertation-preview/79166</t>
  </si>
  <si>
    <t>https://ras.nacid.bg/dissertation-preview/74682</t>
  </si>
  <si>
    <t>https://ras.nacid.bg/dissertation-preview/43055</t>
  </si>
  <si>
    <t>https://ras.nacid.bg/dissertation-preview/26225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</si>
</sst>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color rgb="FF33333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rgb="FF2E2E2E"/>
      <name val="Arial"/>
      <family val="2"/>
      <charset val="204"/>
    </font>
    <font>
      <sz val="14"/>
      <color rgb="FF2E2E2E"/>
      <name val="Arial"/>
      <family val="2"/>
      <charset val="20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2" applyAlignment="1">
      <alignment horizontal="left" vertical="center" wrapText="1"/>
    </xf>
    <xf numFmtId="0" fontId="3" fillId="0" borderId="0" xfId="2"/>
    <xf numFmtId="0" fontId="3" fillId="0" borderId="0" xfId="2" applyAlignment="1">
      <alignment horizontal="left" vertical="center" wrapText="1" indent="1"/>
    </xf>
    <xf numFmtId="9" fontId="0" fillId="0" borderId="0" xfId="1" applyFont="1"/>
    <xf numFmtId="0" fontId="0" fillId="0" borderId="0" xfId="0" applyAlignment="1">
      <alignment wrapText="1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2" applyFill="1" applyBorder="1" applyAlignment="1">
      <alignment wrapText="1"/>
    </xf>
    <xf numFmtId="0" fontId="3" fillId="0" borderId="1" xfId="2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1" xfId="0" applyFill="1" applyBorder="1"/>
    <xf numFmtId="0" fontId="7" fillId="0" borderId="1" xfId="0" applyFont="1" applyFill="1" applyBorder="1" applyAlignment="1">
      <alignment wrapText="1"/>
    </xf>
    <xf numFmtId="164" fontId="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164" fontId="7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2" fillId="0" borderId="0" xfId="0" applyFont="1" applyAlignment="1">
      <alignment horizontal="center"/>
    </xf>
    <xf numFmtId="164" fontId="3" fillId="0" borderId="1" xfId="2" applyNumberFormat="1" applyFill="1" applyBorder="1" applyAlignment="1">
      <alignment horizontal="center" vertical="center"/>
    </xf>
    <xf numFmtId="0" fontId="0" fillId="3" borderId="1" xfId="0" applyFill="1" applyBorder="1"/>
    <xf numFmtId="0" fontId="3" fillId="0" borderId="0" xfId="2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s.nacid.bg/dissertation-preview/43571" TargetMode="External"/><Relationship Id="rId2" Type="http://schemas.openxmlformats.org/officeDocument/2006/relationships/hyperlink" Target="https://ras.nacid.bg/dissertation-preview/47985" TargetMode="External"/><Relationship Id="rId1" Type="http://schemas.openxmlformats.org/officeDocument/2006/relationships/hyperlink" Target="https://ras.nacid.bg/dissertation-preview/39240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-sofia.bg/index.php/bul/universitet_t/fakulteti/stopanski_fakultet/katedri_i_akademichen_s_stav/katedri/ikonomika/prepodavateli_katedra_ikonomika/gl_as_d_r_iliya_atanasov" TargetMode="External"/><Relationship Id="rId3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marselen_jovogan" TargetMode="External"/><Relationship Id="rId7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marina_stefanova_r_kovoditel_katedra" TargetMode="External"/><Relationship Id="rId2" Type="http://schemas.openxmlformats.org/officeDocument/2006/relationships/hyperlink" Target="https://www.uni-sofia.bg/index.php/bul/universitet_t/fakulteti/stopanski_fakultet/katedri_i_akademichen_s_stav/katedri/ikonomika/prepodavateli_katedra_ikonomika/doc_d_r_dimit_r_zlatinov_r_kovoditel_katedra" TargetMode="External"/><Relationship Id="rId1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atanas_georgiev_dekan" TargetMode="External"/><Relationship Id="rId6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van_angelov" TargetMode="External"/><Relationship Id="rId5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nikolaj_netov_r_kovoditel_katedra" TargetMode="External"/><Relationship Id="rId4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todor_yal_mov" TargetMode="External"/><Relationship Id="rId9" Type="http://schemas.openxmlformats.org/officeDocument/2006/relationships/hyperlink" Target="https://ras.nacid.bg/dissertation-preview/43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3F5C-F064-4D99-8EDA-DBEBE636475B}">
  <dimension ref="A1:B4"/>
  <sheetViews>
    <sheetView workbookViewId="0">
      <selection activeCell="B4" sqref="B4"/>
    </sheetView>
  </sheetViews>
  <sheetFormatPr defaultColWidth="8.77734375" defaultRowHeight="14.4" x14ac:dyDescent="0.3"/>
  <sheetData>
    <row r="1" spans="1:2" x14ac:dyDescent="0.3">
      <c r="A1" t="s">
        <v>79</v>
      </c>
      <c r="B1" t="s">
        <v>80</v>
      </c>
    </row>
    <row r="2" spans="1:2" x14ac:dyDescent="0.3">
      <c r="A2" t="s">
        <v>81</v>
      </c>
    </row>
    <row r="3" spans="1:2" x14ac:dyDescent="0.3">
      <c r="A3" t="s">
        <v>82</v>
      </c>
      <c r="B3" t="s">
        <v>83</v>
      </c>
    </row>
    <row r="4" spans="1:2" x14ac:dyDescent="0.3">
      <c r="A4" t="s">
        <v>84</v>
      </c>
      <c r="B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2473-93DE-4068-B694-36BFB33E2DD5}">
  <sheetPr>
    <tabColor rgb="FFFF0000"/>
  </sheetPr>
  <dimension ref="A1:X150"/>
  <sheetViews>
    <sheetView tabSelected="1" zoomScale="136" zoomScaleNormal="55" workbookViewId="0">
      <pane ySplit="1" topLeftCell="A2" activePane="bottomLeft" state="frozen"/>
      <selection pane="bottomLeft" activeCell="A141" sqref="A141:A150"/>
    </sheetView>
  </sheetViews>
  <sheetFormatPr defaultColWidth="8.77734375" defaultRowHeight="15.6" x14ac:dyDescent="0.3"/>
  <cols>
    <col min="1" max="1" width="32" style="24" customWidth="1"/>
    <col min="2" max="2" width="27.77734375" style="5" customWidth="1"/>
    <col min="3" max="3" width="8.77734375" customWidth="1"/>
    <col min="4" max="4" width="11.6640625" customWidth="1"/>
    <col min="5" max="5" width="7.109375" customWidth="1"/>
    <col min="6" max="6" width="11.109375" style="7" customWidth="1"/>
    <col min="7" max="7" width="14.109375" style="7" customWidth="1"/>
    <col min="8" max="8" width="11.77734375" customWidth="1"/>
    <col min="9" max="9" width="9.109375" customWidth="1"/>
    <col min="10" max="10" width="22.44140625" style="6" customWidth="1"/>
    <col min="11" max="11" width="21.33203125" style="6" customWidth="1"/>
    <col min="12" max="12" width="9.77734375" style="8" customWidth="1"/>
    <col min="13" max="13" width="6.77734375" customWidth="1"/>
    <col min="14" max="15" width="10.44140625" customWidth="1"/>
    <col min="16" max="16" width="10.6640625" customWidth="1"/>
    <col min="17" max="17" width="10.109375" customWidth="1"/>
    <col min="18" max="18" width="12.33203125" customWidth="1"/>
    <col min="19" max="19" width="10.44140625" customWidth="1"/>
    <col min="20" max="20" width="13.109375" customWidth="1"/>
    <col min="21" max="22" width="9.44140625" customWidth="1"/>
    <col min="23" max="23" width="15.77734375" customWidth="1"/>
    <col min="24" max="24" width="5.33203125" hidden="1" customWidth="1"/>
  </cols>
  <sheetData>
    <row r="1" spans="1:24" s="14" customFormat="1" ht="46.8" customHeight="1" x14ac:dyDescent="0.3">
      <c r="A1" s="10" t="s">
        <v>1</v>
      </c>
      <c r="B1" s="10" t="s">
        <v>73</v>
      </c>
      <c r="C1" s="10" t="s">
        <v>75</v>
      </c>
      <c r="D1" s="10" t="s">
        <v>0</v>
      </c>
      <c r="E1" s="10" t="s">
        <v>87</v>
      </c>
      <c r="F1" s="13" t="s">
        <v>65</v>
      </c>
      <c r="G1" s="13" t="s">
        <v>74</v>
      </c>
      <c r="H1" s="10" t="s">
        <v>2</v>
      </c>
      <c r="I1" s="10" t="s">
        <v>86</v>
      </c>
      <c r="J1" s="9" t="s">
        <v>68</v>
      </c>
      <c r="K1" s="9" t="s">
        <v>94</v>
      </c>
      <c r="L1" s="10" t="s">
        <v>95</v>
      </c>
      <c r="M1" s="10" t="s">
        <v>67</v>
      </c>
      <c r="N1" s="10" t="s">
        <v>69</v>
      </c>
      <c r="O1" s="10" t="s">
        <v>96</v>
      </c>
      <c r="P1" s="10" t="s">
        <v>71</v>
      </c>
      <c r="Q1" s="10" t="s">
        <v>72</v>
      </c>
      <c r="R1" s="10" t="s">
        <v>77</v>
      </c>
      <c r="S1" s="10" t="s">
        <v>76</v>
      </c>
      <c r="T1" s="10" t="s">
        <v>78</v>
      </c>
      <c r="X1" s="14" t="s">
        <v>3</v>
      </c>
    </row>
    <row r="2" spans="1:24" ht="18" customHeight="1" x14ac:dyDescent="0.3">
      <c r="A2" s="16" t="s">
        <v>97</v>
      </c>
      <c r="B2" s="11" t="s">
        <v>246</v>
      </c>
      <c r="C2" s="11"/>
      <c r="D2" s="15"/>
      <c r="E2" s="15"/>
      <c r="F2" s="16"/>
      <c r="G2" s="16"/>
      <c r="H2" s="15"/>
      <c r="I2" s="15"/>
      <c r="J2" s="17"/>
      <c r="K2" s="17"/>
      <c r="L2" s="18"/>
      <c r="M2" s="18"/>
      <c r="N2" s="18"/>
      <c r="O2" s="18"/>
      <c r="P2" s="18"/>
      <c r="Q2" s="18"/>
      <c r="R2" s="19"/>
      <c r="S2" s="19"/>
      <c r="T2" s="19"/>
      <c r="W2" t="s">
        <v>88</v>
      </c>
      <c r="X2" t="s">
        <v>4</v>
      </c>
    </row>
    <row r="3" spans="1:24" ht="25.2" customHeight="1" x14ac:dyDescent="0.3">
      <c r="A3" s="15" t="s">
        <v>98</v>
      </c>
      <c r="B3" s="11" t="s">
        <v>247</v>
      </c>
      <c r="C3" s="11"/>
      <c r="D3" s="15"/>
      <c r="E3" s="15"/>
      <c r="F3" s="16"/>
      <c r="G3" s="16"/>
      <c r="H3" s="15"/>
      <c r="I3" s="15"/>
      <c r="J3" s="17"/>
      <c r="K3" s="17"/>
      <c r="L3" s="18"/>
      <c r="M3" s="18"/>
      <c r="N3" s="18"/>
      <c r="O3" s="18"/>
      <c r="P3" s="18"/>
      <c r="Q3" s="18"/>
      <c r="R3" s="18"/>
      <c r="S3" s="18"/>
      <c r="T3" s="18"/>
      <c r="W3" t="s">
        <v>89</v>
      </c>
      <c r="X3" t="s">
        <v>5</v>
      </c>
    </row>
    <row r="4" spans="1:24" ht="24.45" customHeight="1" x14ac:dyDescent="0.3">
      <c r="A4" s="15" t="s">
        <v>99</v>
      </c>
      <c r="B4" s="11" t="s">
        <v>248</v>
      </c>
      <c r="C4" s="11"/>
      <c r="D4" s="15"/>
      <c r="E4" s="15"/>
      <c r="F4" s="16"/>
      <c r="G4" s="16"/>
      <c r="H4" s="15"/>
      <c r="I4" s="15"/>
      <c r="J4" s="17"/>
      <c r="K4" s="17"/>
      <c r="L4" s="18"/>
      <c r="M4" s="18"/>
      <c r="N4" s="18"/>
      <c r="O4" s="18"/>
      <c r="P4" s="18"/>
      <c r="Q4" s="18"/>
      <c r="R4" s="20"/>
      <c r="S4" s="20"/>
      <c r="T4" s="20"/>
      <c r="W4" t="s">
        <v>90</v>
      </c>
      <c r="X4" t="s">
        <v>66</v>
      </c>
    </row>
    <row r="5" spans="1:24" ht="22.8" customHeight="1" x14ac:dyDescent="0.3">
      <c r="A5" s="15" t="s">
        <v>100</v>
      </c>
      <c r="B5" s="11" t="s">
        <v>249</v>
      </c>
      <c r="C5" s="11"/>
      <c r="D5" s="15"/>
      <c r="E5" s="15"/>
      <c r="F5" s="16"/>
      <c r="G5" s="16"/>
      <c r="H5" s="15"/>
      <c r="I5" s="15"/>
      <c r="J5" s="17"/>
      <c r="K5" s="17"/>
      <c r="L5" s="18"/>
      <c r="M5" s="18"/>
      <c r="N5" s="18"/>
      <c r="O5" s="18"/>
      <c r="P5" s="18"/>
      <c r="Q5" s="18"/>
      <c r="R5" s="20"/>
      <c r="S5" s="20"/>
      <c r="T5" s="20"/>
      <c r="W5" t="s">
        <v>91</v>
      </c>
    </row>
    <row r="6" spans="1:24" ht="33.450000000000003" customHeight="1" x14ac:dyDescent="0.3">
      <c r="A6" s="15" t="s">
        <v>101</v>
      </c>
      <c r="B6" s="11" t="s">
        <v>250</v>
      </c>
      <c r="C6" s="11"/>
      <c r="D6" s="15"/>
      <c r="E6" s="15"/>
      <c r="F6" s="16"/>
      <c r="G6" s="16"/>
      <c r="H6" s="15"/>
      <c r="I6" s="15"/>
      <c r="J6" s="17"/>
      <c r="K6" s="17"/>
      <c r="L6" s="18"/>
      <c r="M6" s="18"/>
      <c r="N6" s="18"/>
      <c r="O6" s="18"/>
      <c r="P6" s="18"/>
      <c r="Q6" s="18"/>
      <c r="R6" s="18"/>
      <c r="S6" s="18"/>
      <c r="T6" s="20"/>
      <c r="W6" t="s">
        <v>92</v>
      </c>
    </row>
    <row r="7" spans="1:24" ht="36" customHeight="1" x14ac:dyDescent="0.3">
      <c r="A7" s="15" t="s">
        <v>102</v>
      </c>
      <c r="B7" s="11" t="s">
        <v>251</v>
      </c>
      <c r="C7" s="11"/>
      <c r="D7" s="15"/>
      <c r="E7" s="15"/>
      <c r="F7" s="16"/>
      <c r="G7" s="16"/>
      <c r="H7" s="15"/>
      <c r="I7" s="15"/>
      <c r="J7" s="17"/>
      <c r="K7" s="17"/>
      <c r="L7" s="18"/>
      <c r="M7" s="18"/>
      <c r="N7" s="18"/>
      <c r="O7" s="18"/>
      <c r="P7" s="18"/>
      <c r="Q7" s="18"/>
      <c r="R7" s="18"/>
      <c r="S7" s="18"/>
      <c r="T7" s="18"/>
      <c r="W7" t="s">
        <v>93</v>
      </c>
    </row>
    <row r="8" spans="1:24" ht="19.2" customHeight="1" x14ac:dyDescent="0.3">
      <c r="A8" s="15" t="s">
        <v>103</v>
      </c>
      <c r="B8" s="11" t="s">
        <v>252</v>
      </c>
      <c r="C8" s="11"/>
      <c r="D8" s="15"/>
      <c r="E8" s="15"/>
      <c r="F8" s="16"/>
      <c r="G8" s="16"/>
      <c r="H8" s="15"/>
      <c r="I8" s="15"/>
      <c r="J8" s="17"/>
      <c r="K8" s="17"/>
      <c r="L8" s="18"/>
      <c r="M8" s="18"/>
      <c r="N8" s="18"/>
      <c r="O8" s="18"/>
      <c r="P8" s="18"/>
      <c r="Q8" s="18"/>
      <c r="R8" s="18"/>
      <c r="S8" s="18"/>
      <c r="T8" s="18"/>
    </row>
    <row r="9" spans="1:24" ht="30.45" customHeight="1" x14ac:dyDescent="0.3">
      <c r="A9" s="15" t="s">
        <v>104</v>
      </c>
      <c r="B9" s="11"/>
      <c r="C9" s="11"/>
      <c r="D9" s="15"/>
      <c r="E9" s="15"/>
      <c r="F9" s="16"/>
      <c r="G9" s="16"/>
      <c r="H9" s="15"/>
      <c r="I9" s="15"/>
      <c r="J9" s="17"/>
      <c r="K9" s="17"/>
      <c r="L9" s="18"/>
      <c r="M9" s="18"/>
      <c r="N9" s="18"/>
      <c r="O9" s="18"/>
      <c r="P9" s="18"/>
      <c r="Q9" s="18"/>
      <c r="R9" s="18"/>
      <c r="S9" s="20"/>
      <c r="T9" s="20"/>
    </row>
    <row r="10" spans="1:24" ht="31.2" customHeight="1" x14ac:dyDescent="0.3">
      <c r="A10" s="15" t="s">
        <v>105</v>
      </c>
      <c r="B10" s="11"/>
      <c r="C10" s="11"/>
      <c r="D10" s="15"/>
      <c r="E10" s="15"/>
      <c r="F10" s="16"/>
      <c r="G10" s="16"/>
      <c r="H10" s="15"/>
      <c r="I10" s="15"/>
      <c r="J10" s="17"/>
      <c r="K10" s="17"/>
      <c r="L10" s="18"/>
      <c r="M10" s="18"/>
      <c r="N10" s="18"/>
      <c r="O10" s="18"/>
      <c r="P10" s="18"/>
      <c r="Q10" s="21"/>
      <c r="R10" s="18"/>
      <c r="S10" s="18"/>
      <c r="T10" s="20"/>
    </row>
    <row r="11" spans="1:24" ht="37.200000000000003" customHeight="1" x14ac:dyDescent="0.3">
      <c r="A11" s="15" t="s">
        <v>106</v>
      </c>
      <c r="B11" s="11"/>
      <c r="C11" s="11"/>
      <c r="D11" s="15"/>
      <c r="E11" s="15"/>
      <c r="F11" s="16"/>
      <c r="G11" s="16"/>
      <c r="H11" s="15"/>
      <c r="I11" s="15"/>
      <c r="J11" s="17"/>
      <c r="K11" s="17"/>
      <c r="L11" s="18"/>
      <c r="M11" s="18"/>
      <c r="N11" s="18"/>
      <c r="O11" s="18"/>
      <c r="P11" s="18"/>
      <c r="Q11" s="18"/>
      <c r="R11" s="18"/>
      <c r="S11" s="18"/>
      <c r="T11" s="18"/>
    </row>
    <row r="12" spans="1:24" ht="21.45" customHeight="1" x14ac:dyDescent="0.3">
      <c r="A12" s="15" t="s">
        <v>107</v>
      </c>
      <c r="B12" s="11"/>
      <c r="C12" s="11"/>
      <c r="D12" s="15"/>
      <c r="E12" s="15"/>
      <c r="F12" s="16"/>
      <c r="G12" s="16"/>
      <c r="H12" s="15"/>
      <c r="I12" s="15"/>
      <c r="J12" s="17"/>
      <c r="K12" s="17"/>
      <c r="L12" s="18"/>
      <c r="M12" s="18"/>
      <c r="N12" s="18"/>
      <c r="O12" s="18"/>
      <c r="P12" s="18"/>
      <c r="Q12" s="18"/>
      <c r="R12" s="18"/>
      <c r="S12" s="20"/>
      <c r="T12" s="20"/>
    </row>
    <row r="13" spans="1:24" ht="35.549999999999997" customHeight="1" x14ac:dyDescent="0.3">
      <c r="A13" s="15" t="s">
        <v>108</v>
      </c>
      <c r="B13" s="11" t="s">
        <v>253</v>
      </c>
      <c r="C13" s="11"/>
      <c r="D13" s="15"/>
      <c r="E13" s="15"/>
      <c r="F13" s="16"/>
      <c r="G13" s="16"/>
      <c r="H13" s="15"/>
      <c r="I13" s="15"/>
      <c r="J13" s="17"/>
      <c r="K13" s="17"/>
      <c r="L13" s="18"/>
      <c r="M13" s="18"/>
      <c r="N13" s="18"/>
      <c r="O13" s="18"/>
      <c r="P13" s="18"/>
      <c r="Q13" s="18"/>
      <c r="R13" s="18"/>
      <c r="S13" s="19"/>
      <c r="T13" s="18"/>
    </row>
    <row r="14" spans="1:24" ht="24" customHeight="1" x14ac:dyDescent="0.3">
      <c r="A14" s="15" t="s">
        <v>109</v>
      </c>
      <c r="B14" s="11" t="s">
        <v>254</v>
      </c>
      <c r="C14" s="22"/>
      <c r="D14" s="15"/>
      <c r="E14" s="15"/>
      <c r="F14" s="16"/>
      <c r="G14" s="16"/>
      <c r="H14" s="15"/>
      <c r="I14" s="15"/>
      <c r="J14" s="17"/>
      <c r="K14" s="17"/>
      <c r="L14" s="18"/>
      <c r="M14" s="18"/>
      <c r="N14" s="18"/>
      <c r="O14" s="18"/>
      <c r="P14" s="18"/>
      <c r="Q14" s="18"/>
      <c r="R14" s="18"/>
      <c r="S14" s="18"/>
      <c r="T14" s="18"/>
    </row>
    <row r="15" spans="1:24" ht="31.2" customHeight="1" x14ac:dyDescent="0.3">
      <c r="A15" s="15" t="s">
        <v>110</v>
      </c>
      <c r="B15" s="11" t="s">
        <v>255</v>
      </c>
      <c r="C15" s="11"/>
      <c r="D15" s="15"/>
      <c r="E15" s="15"/>
      <c r="F15" s="16"/>
      <c r="G15" s="16"/>
      <c r="H15" s="15"/>
      <c r="I15" s="15"/>
      <c r="J15" s="23"/>
      <c r="K15" s="23"/>
      <c r="L15" s="18"/>
      <c r="M15" s="18"/>
      <c r="N15" s="18"/>
      <c r="O15" s="18"/>
      <c r="P15" s="18"/>
      <c r="Q15" s="18"/>
      <c r="R15" s="18"/>
      <c r="S15" s="18"/>
      <c r="T15" s="18"/>
    </row>
    <row r="16" spans="1:24" ht="37.799999999999997" customHeight="1" x14ac:dyDescent="0.3">
      <c r="A16" s="15" t="s">
        <v>111</v>
      </c>
      <c r="B16" s="11" t="s">
        <v>256</v>
      </c>
      <c r="C16" s="11"/>
      <c r="D16" s="15"/>
      <c r="E16" s="15"/>
      <c r="F16" s="16"/>
      <c r="G16" s="16"/>
      <c r="H16" s="15"/>
      <c r="I16" s="15"/>
      <c r="J16" s="23"/>
      <c r="K16" s="23"/>
      <c r="L16" s="18"/>
      <c r="M16" s="18"/>
      <c r="N16" s="18"/>
      <c r="O16" s="18"/>
      <c r="P16" s="18"/>
      <c r="Q16" s="18"/>
      <c r="R16" s="18"/>
      <c r="S16" s="18"/>
      <c r="T16" s="18"/>
    </row>
    <row r="17" spans="1:20" ht="32.549999999999997" customHeight="1" x14ac:dyDescent="0.3">
      <c r="A17" s="15" t="s">
        <v>112</v>
      </c>
      <c r="B17" s="11" t="s">
        <v>257</v>
      </c>
      <c r="C17" s="11"/>
      <c r="D17" s="15"/>
      <c r="E17" s="15"/>
      <c r="F17" s="16"/>
      <c r="G17" s="16"/>
      <c r="H17" s="15"/>
      <c r="I17" s="15"/>
      <c r="J17" s="23"/>
      <c r="K17" s="23"/>
      <c r="L17" s="18"/>
      <c r="M17" s="18"/>
      <c r="N17" s="18"/>
      <c r="O17" s="18"/>
      <c r="P17" s="18"/>
      <c r="Q17" s="18"/>
      <c r="R17" s="18"/>
      <c r="S17" s="18"/>
      <c r="T17" s="18"/>
    </row>
    <row r="18" spans="1:20" ht="38.549999999999997" customHeight="1" x14ac:dyDescent="0.3">
      <c r="A18" s="15" t="s">
        <v>113</v>
      </c>
      <c r="B18" s="11" t="s">
        <v>258</v>
      </c>
      <c r="C18" s="11"/>
      <c r="D18" s="15"/>
      <c r="E18" s="15"/>
      <c r="F18" s="16"/>
      <c r="G18" s="16"/>
      <c r="H18" s="15"/>
      <c r="I18" s="15"/>
      <c r="J18" s="23"/>
      <c r="K18" s="23"/>
      <c r="L18" s="18"/>
      <c r="M18" s="18"/>
      <c r="N18" s="18"/>
      <c r="O18" s="18"/>
      <c r="P18" s="18"/>
      <c r="Q18" s="18"/>
      <c r="R18" s="18"/>
      <c r="S18" s="18"/>
      <c r="T18" s="18"/>
    </row>
    <row r="19" spans="1:20" ht="28.8" customHeight="1" x14ac:dyDescent="0.3">
      <c r="A19" s="15" t="s">
        <v>114</v>
      </c>
      <c r="B19" s="11" t="s">
        <v>259</v>
      </c>
      <c r="C19" s="11"/>
      <c r="D19" s="15"/>
      <c r="E19" s="15"/>
      <c r="F19" s="16"/>
      <c r="G19" s="16"/>
      <c r="H19" s="15"/>
      <c r="I19" s="15"/>
      <c r="J19" s="23"/>
      <c r="K19" s="23"/>
      <c r="L19" s="18"/>
      <c r="M19" s="18"/>
      <c r="N19" s="18"/>
      <c r="O19" s="18"/>
      <c r="P19" s="18"/>
      <c r="Q19" s="18"/>
      <c r="R19" s="18"/>
      <c r="S19" s="18"/>
      <c r="T19" s="18"/>
    </row>
    <row r="20" spans="1:20" ht="21" customHeight="1" x14ac:dyDescent="0.3">
      <c r="A20" s="15" t="s">
        <v>115</v>
      </c>
      <c r="B20" s="11" t="s">
        <v>260</v>
      </c>
      <c r="C20" s="12"/>
      <c r="D20" s="15"/>
      <c r="E20" s="15"/>
      <c r="F20" s="16"/>
      <c r="G20" s="16"/>
      <c r="H20" s="22"/>
      <c r="I20" s="15"/>
      <c r="J20" s="17"/>
      <c r="K20" s="17"/>
      <c r="L20" s="18"/>
      <c r="M20" s="18"/>
      <c r="N20" s="18"/>
      <c r="O20" s="18"/>
      <c r="P20" s="18"/>
      <c r="Q20" s="18"/>
      <c r="R20" s="18"/>
      <c r="S20" s="18"/>
      <c r="T20" s="18"/>
    </row>
    <row r="21" spans="1:20" ht="27.45" customHeight="1" x14ac:dyDescent="0.3">
      <c r="A21" s="15" t="s">
        <v>116</v>
      </c>
      <c r="B21" s="11" t="s">
        <v>261</v>
      </c>
      <c r="C21" s="12"/>
      <c r="D21" s="15"/>
      <c r="E21" s="15"/>
      <c r="F21" s="16"/>
      <c r="G21" s="16"/>
      <c r="H21" s="22"/>
      <c r="I21" s="15"/>
      <c r="J21" s="17"/>
      <c r="K21" s="17"/>
      <c r="L21" s="18"/>
      <c r="M21" s="18"/>
      <c r="N21" s="18"/>
      <c r="O21" s="18"/>
      <c r="P21" s="18"/>
      <c r="Q21" s="18"/>
      <c r="R21" s="18"/>
      <c r="S21" s="18"/>
      <c r="T21" s="18"/>
    </row>
    <row r="22" spans="1:20" ht="33" customHeight="1" x14ac:dyDescent="0.3">
      <c r="A22" s="15" t="s">
        <v>117</v>
      </c>
      <c r="B22" s="11" t="s">
        <v>262</v>
      </c>
      <c r="C22" s="12"/>
      <c r="D22" s="15"/>
      <c r="E22" s="15"/>
      <c r="F22" s="16"/>
      <c r="G22" s="16"/>
      <c r="H22" s="22"/>
      <c r="I22" s="15"/>
      <c r="J22" s="17"/>
      <c r="K22" s="17"/>
      <c r="L22" s="18"/>
      <c r="M22" s="18"/>
      <c r="N22" s="18"/>
      <c r="O22" s="18"/>
      <c r="P22" s="18"/>
      <c r="Q22" s="18"/>
      <c r="R22" s="18"/>
      <c r="S22" s="18"/>
      <c r="T22" s="18"/>
    </row>
    <row r="23" spans="1:20" x14ac:dyDescent="0.3">
      <c r="A23" s="15" t="s">
        <v>118</v>
      </c>
      <c r="B23" s="26" t="s">
        <v>263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spans="1:20" x14ac:dyDescent="0.3">
      <c r="A24" s="15" t="s">
        <v>119</v>
      </c>
      <c r="B24" s="26" t="s">
        <v>264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x14ac:dyDescent="0.3">
      <c r="A25" s="15" t="s">
        <v>120</v>
      </c>
      <c r="B25" s="23" t="s">
        <v>265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 x14ac:dyDescent="0.3">
      <c r="A26" s="15" t="s">
        <v>121</v>
      </c>
      <c r="B26" s="23" t="s">
        <v>266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x14ac:dyDescent="0.3">
      <c r="A27" s="15" t="s">
        <v>122</v>
      </c>
      <c r="B27" s="23" t="s">
        <v>267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 spans="1:20" x14ac:dyDescent="0.3">
      <c r="A28" s="15" t="s">
        <v>123</v>
      </c>
      <c r="B28" s="23" t="s">
        <v>268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 spans="1:20" x14ac:dyDescent="0.3">
      <c r="A29" s="15" t="s">
        <v>124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spans="1:20" x14ac:dyDescent="0.3">
      <c r="A30" s="15" t="s">
        <v>125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20" x14ac:dyDescent="0.3">
      <c r="A31" s="15" t="s">
        <v>126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spans="1:20" x14ac:dyDescent="0.3">
      <c r="A32" s="15" t="s">
        <v>127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spans="1:20" x14ac:dyDescent="0.3">
      <c r="A33" s="15" t="s">
        <v>128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spans="1:20" x14ac:dyDescent="0.3">
      <c r="A34" s="15" t="s">
        <v>129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spans="1:20" x14ac:dyDescent="0.3">
      <c r="A35" s="15" t="s">
        <v>130</v>
      </c>
      <c r="B35" s="23" t="s">
        <v>269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spans="1:20" x14ac:dyDescent="0.3">
      <c r="A36" s="15" t="s">
        <v>131</v>
      </c>
      <c r="B36" s="23" t="s">
        <v>270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spans="1:20" x14ac:dyDescent="0.3">
      <c r="A37" s="15" t="s">
        <v>132</v>
      </c>
      <c r="B37" s="23" t="s">
        <v>271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spans="1:20" x14ac:dyDescent="0.3">
      <c r="A38" s="15" t="s">
        <v>133</v>
      </c>
      <c r="B38" s="23" t="s">
        <v>272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spans="1:20" x14ac:dyDescent="0.3">
      <c r="A39" s="15" t="s">
        <v>134</v>
      </c>
      <c r="B39" s="23" t="s">
        <v>273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0" x14ac:dyDescent="0.3">
      <c r="A40" s="15" t="s">
        <v>135</v>
      </c>
      <c r="B40" s="23" t="s">
        <v>274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0" x14ac:dyDescent="0.3">
      <c r="A41" s="15" t="s">
        <v>136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spans="1:20" x14ac:dyDescent="0.3">
      <c r="A42" s="15" t="s">
        <v>137</v>
      </c>
      <c r="B42" s="23" t="s">
        <v>275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1:20" x14ac:dyDescent="0.3">
      <c r="A43" s="15" t="s">
        <v>138</v>
      </c>
      <c r="B43" s="23" t="s">
        <v>276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spans="1:20" x14ac:dyDescent="0.3">
      <c r="A44" s="15" t="s">
        <v>139</v>
      </c>
      <c r="B44" s="23" t="s">
        <v>277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spans="1:20" x14ac:dyDescent="0.3">
      <c r="A45" s="15" t="s">
        <v>140</v>
      </c>
      <c r="B45" s="23" t="s">
        <v>278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spans="1:20" x14ac:dyDescent="0.3">
      <c r="A46" s="15" t="s">
        <v>141</v>
      </c>
      <c r="B46" s="23" t="s">
        <v>279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spans="1:20" x14ac:dyDescent="0.3">
      <c r="A47" s="15" t="s">
        <v>142</v>
      </c>
      <c r="B47" s="23" t="s">
        <v>280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spans="1:20" x14ac:dyDescent="0.3">
      <c r="A48" s="15" t="s">
        <v>143</v>
      </c>
      <c r="B48" s="23" t="s">
        <v>281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 x14ac:dyDescent="0.3">
      <c r="A49" s="15" t="s">
        <v>144</v>
      </c>
      <c r="B49" s="23" t="s">
        <v>282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spans="1:20" x14ac:dyDescent="0.3">
      <c r="A50" s="15" t="s">
        <v>145</v>
      </c>
      <c r="B50" s="23" t="s">
        <v>283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x14ac:dyDescent="0.3">
      <c r="A51" s="15" t="s">
        <v>146</v>
      </c>
      <c r="B51" s="23" t="s">
        <v>284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spans="1:20" x14ac:dyDescent="0.3">
      <c r="A52" s="15" t="s">
        <v>147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spans="1:20" x14ac:dyDescent="0.3">
      <c r="A53" s="15" t="s">
        <v>148</v>
      </c>
      <c r="B53" s="23" t="s">
        <v>285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spans="1:20" x14ac:dyDescent="0.3">
      <c r="A54" s="15" t="s">
        <v>149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0" x14ac:dyDescent="0.3">
      <c r="A55" s="15" t="s">
        <v>150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0" x14ac:dyDescent="0.3">
      <c r="A56" s="15" t="s">
        <v>151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 x14ac:dyDescent="0.3">
      <c r="A57" s="15" t="s">
        <v>152</v>
      </c>
      <c r="B57" s="23" t="s">
        <v>286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spans="1:20" x14ac:dyDescent="0.3">
      <c r="A58" s="15" t="s">
        <v>153</v>
      </c>
      <c r="B58" s="23" t="s">
        <v>287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20" x14ac:dyDescent="0.3">
      <c r="A59" s="15" t="s">
        <v>154</v>
      </c>
      <c r="B59" s="23" t="s">
        <v>288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spans="1:20" x14ac:dyDescent="0.3">
      <c r="A60" s="15" t="s">
        <v>155</v>
      </c>
      <c r="B60" s="23" t="s">
        <v>289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spans="1:20" x14ac:dyDescent="0.3">
      <c r="A61" s="15" t="s">
        <v>156</v>
      </c>
      <c r="B61" s="23" t="s">
        <v>290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spans="1:20" x14ac:dyDescent="0.3">
      <c r="A62" s="15" t="s">
        <v>157</v>
      </c>
      <c r="B62" s="23" t="s">
        <v>291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spans="1:20" x14ac:dyDescent="0.3">
      <c r="A63" s="15" t="s">
        <v>158</v>
      </c>
      <c r="B63" s="23" t="s">
        <v>292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spans="1:20" x14ac:dyDescent="0.3">
      <c r="A64" s="15" t="s">
        <v>159</v>
      </c>
      <c r="B64" s="23" t="s">
        <v>293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spans="1:20" x14ac:dyDescent="0.3">
      <c r="A65" s="15" t="s">
        <v>160</v>
      </c>
      <c r="B65" s="23" t="s">
        <v>294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spans="1:20" x14ac:dyDescent="0.3">
      <c r="A66" s="15" t="s">
        <v>161</v>
      </c>
      <c r="B66" s="23" t="s">
        <v>295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spans="1:20" x14ac:dyDescent="0.3">
      <c r="A67" s="15" t="s">
        <v>162</v>
      </c>
      <c r="B67" s="23" t="s">
        <v>296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 spans="1:20" x14ac:dyDescent="0.3">
      <c r="A68" s="15" t="s">
        <v>163</v>
      </c>
      <c r="B68" s="23" t="s">
        <v>297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 spans="1:20" x14ac:dyDescent="0.3">
      <c r="A69" s="15" t="s">
        <v>164</v>
      </c>
      <c r="B69" s="23" t="s">
        <v>298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 spans="1:20" x14ac:dyDescent="0.3">
      <c r="A70" s="15" t="s">
        <v>165</v>
      </c>
      <c r="B70" s="23" t="s">
        <v>299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 spans="1:20" x14ac:dyDescent="0.3">
      <c r="A71" s="15" t="s">
        <v>166</v>
      </c>
      <c r="B71" s="23" t="s">
        <v>300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 spans="1:20" x14ac:dyDescent="0.3">
      <c r="A72" s="15" t="s">
        <v>167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 spans="1:20" x14ac:dyDescent="0.3">
      <c r="A73" s="15" t="s">
        <v>168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 spans="1:20" x14ac:dyDescent="0.3">
      <c r="A74" s="15" t="s">
        <v>185</v>
      </c>
      <c r="B74" s="23" t="s">
        <v>301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 spans="1:20" x14ac:dyDescent="0.3">
      <c r="A75" s="15" t="s">
        <v>169</v>
      </c>
      <c r="B75" s="23" t="s">
        <v>302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 spans="1:20" x14ac:dyDescent="0.3">
      <c r="A76" s="15" t="s">
        <v>170</v>
      </c>
      <c r="B76" s="23" t="s">
        <v>303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 spans="1:20" x14ac:dyDescent="0.3">
      <c r="A77" s="15" t="s">
        <v>171</v>
      </c>
      <c r="B77" s="23" t="s">
        <v>304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 spans="1:20" x14ac:dyDescent="0.3">
      <c r="A78" s="15" t="s">
        <v>172</v>
      </c>
      <c r="B78" s="23" t="s">
        <v>305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 spans="1:20" x14ac:dyDescent="0.3">
      <c r="A79" s="15" t="s">
        <v>173</v>
      </c>
      <c r="B79" s="23" t="s">
        <v>357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 spans="1:20" x14ac:dyDescent="0.3">
      <c r="A80" s="15" t="s">
        <v>174</v>
      </c>
      <c r="B80" s="23" t="s">
        <v>306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 spans="1:20" x14ac:dyDescent="0.3">
      <c r="A81" s="15" t="s">
        <v>175</v>
      </c>
      <c r="B81" s="23" t="s">
        <v>307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 spans="1:20" x14ac:dyDescent="0.3">
      <c r="A82" s="15" t="s">
        <v>176</v>
      </c>
      <c r="B82" s="23" t="s">
        <v>308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 spans="1:20" x14ac:dyDescent="0.3">
      <c r="A83" s="15" t="s">
        <v>177</v>
      </c>
      <c r="B83" s="23" t="s">
        <v>309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 spans="1:20" x14ac:dyDescent="0.3">
      <c r="A84" s="15" t="s">
        <v>178</v>
      </c>
      <c r="B84" s="23" t="s">
        <v>310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 spans="1:20" x14ac:dyDescent="0.3">
      <c r="A85" s="15" t="s">
        <v>179</v>
      </c>
      <c r="B85" s="23" t="s">
        <v>311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 spans="1:20" x14ac:dyDescent="0.3">
      <c r="A86" s="15" t="s">
        <v>180</v>
      </c>
      <c r="B86" s="23" t="s">
        <v>312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 spans="1:20" x14ac:dyDescent="0.3">
      <c r="A87" s="15" t="s">
        <v>181</v>
      </c>
      <c r="B87" s="23" t="s">
        <v>313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 spans="1:20" x14ac:dyDescent="0.3">
      <c r="A88" s="15" t="s">
        <v>182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 spans="1:20" x14ac:dyDescent="0.3">
      <c r="A89" s="15" t="s">
        <v>183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 spans="1:20" x14ac:dyDescent="0.3">
      <c r="A90" s="15" t="s">
        <v>184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 spans="1:20" x14ac:dyDescent="0.3">
      <c r="A91" s="15" t="s">
        <v>186</v>
      </c>
      <c r="B91" s="23" t="s">
        <v>314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 spans="1:20" x14ac:dyDescent="0.3">
      <c r="A92" s="15" t="s">
        <v>187</v>
      </c>
      <c r="B92" s="23" t="s">
        <v>315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 spans="1:20" x14ac:dyDescent="0.3">
      <c r="A93" s="15" t="s">
        <v>188</v>
      </c>
      <c r="B93" s="23" t="s">
        <v>316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 spans="1:20" x14ac:dyDescent="0.3">
      <c r="A94" s="15" t="s">
        <v>189</v>
      </c>
      <c r="B94" s="23" t="s">
        <v>317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 spans="1:20" x14ac:dyDescent="0.3">
      <c r="A95" s="15" t="s">
        <v>190</v>
      </c>
      <c r="B95" s="23" t="s">
        <v>318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 spans="1:20" x14ac:dyDescent="0.3">
      <c r="A96" s="27" t="s">
        <v>191</v>
      </c>
      <c r="B96" s="23" t="s">
        <v>319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 spans="1:20" ht="27" customHeight="1" x14ac:dyDescent="0.3">
      <c r="A97" s="15" t="s">
        <v>192</v>
      </c>
      <c r="B97" s="28" t="s">
        <v>321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 spans="1:20" x14ac:dyDescent="0.3">
      <c r="A98" s="15" t="s">
        <v>193</v>
      </c>
      <c r="B98" s="23" t="s">
        <v>320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 spans="1:20" x14ac:dyDescent="0.3">
      <c r="A99" s="15" t="s">
        <v>194</v>
      </c>
      <c r="B99" s="23" t="s">
        <v>322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 spans="1:20" x14ac:dyDescent="0.3">
      <c r="A100" s="15" t="s">
        <v>195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 spans="1:20" x14ac:dyDescent="0.3">
      <c r="A101" s="15" t="s">
        <v>196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 spans="1:20" x14ac:dyDescent="0.3">
      <c r="A102" s="15" t="s">
        <v>197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 spans="1:20" x14ac:dyDescent="0.3">
      <c r="A103" s="15" t="s">
        <v>198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 spans="1:20" x14ac:dyDescent="0.3">
      <c r="A104" s="15" t="s">
        <v>199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1:20" x14ac:dyDescent="0.3">
      <c r="A105" s="15" t="s">
        <v>200</v>
      </c>
      <c r="B105" s="23" t="s">
        <v>323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1:20" x14ac:dyDescent="0.3">
      <c r="A106" s="15" t="s">
        <v>201</v>
      </c>
      <c r="B106" s="23" t="s">
        <v>324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 spans="1:20" x14ac:dyDescent="0.3">
      <c r="A107" s="15" t="s">
        <v>202</v>
      </c>
      <c r="B107" s="23" t="s">
        <v>325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 spans="1:20" x14ac:dyDescent="0.3">
      <c r="A108" s="15" t="s">
        <v>203</v>
      </c>
      <c r="B108" s="23" t="s">
        <v>326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 spans="1:20" x14ac:dyDescent="0.3">
      <c r="A109" s="15" t="s">
        <v>204</v>
      </c>
      <c r="B109" s="23" t="s">
        <v>327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 spans="1:20" x14ac:dyDescent="0.3">
      <c r="A110" s="15" t="s">
        <v>205</v>
      </c>
      <c r="B110" s="23" t="s">
        <v>328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 spans="1:20" x14ac:dyDescent="0.3">
      <c r="A111" s="15" t="s">
        <v>206</v>
      </c>
      <c r="B111" s="23" t="s">
        <v>329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 spans="1:20" x14ac:dyDescent="0.3">
      <c r="A112" s="15" t="s">
        <v>207</v>
      </c>
      <c r="B112" s="23" t="s">
        <v>330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 spans="1:20" x14ac:dyDescent="0.3">
      <c r="A113" s="15" t="s">
        <v>208</v>
      </c>
      <c r="B113" s="23" t="s">
        <v>331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 spans="1:20" x14ac:dyDescent="0.3">
      <c r="A114" s="15" t="s">
        <v>209</v>
      </c>
      <c r="B114" s="23" t="s">
        <v>332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 spans="1:20" x14ac:dyDescent="0.3">
      <c r="A115" s="15" t="s">
        <v>210</v>
      </c>
      <c r="B115" s="23" t="s">
        <v>333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 spans="1:20" x14ac:dyDescent="0.3">
      <c r="A116" s="15" t="s">
        <v>211</v>
      </c>
      <c r="B116" s="23" t="s">
        <v>334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 spans="1:20" x14ac:dyDescent="0.3">
      <c r="A117" s="15" t="s">
        <v>212</v>
      </c>
      <c r="B117" s="23" t="s">
        <v>335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 spans="1:20" x14ac:dyDescent="0.3">
      <c r="A118" s="15" t="s">
        <v>213</v>
      </c>
      <c r="B118" s="23" t="s">
        <v>336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 spans="1:20" x14ac:dyDescent="0.3">
      <c r="A119" s="15" t="s">
        <v>214</v>
      </c>
      <c r="B119" s="23" t="s">
        <v>337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 spans="1:20" x14ac:dyDescent="0.3">
      <c r="A120" s="15" t="s">
        <v>215</v>
      </c>
      <c r="B120" s="23" t="s">
        <v>338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 spans="1:20" x14ac:dyDescent="0.3">
      <c r="A121" s="15" t="s">
        <v>216</v>
      </c>
      <c r="B121" s="23" t="s">
        <v>339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 spans="1:20" x14ac:dyDescent="0.3">
      <c r="A122" s="15" t="s">
        <v>217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 spans="1:20" x14ac:dyDescent="0.3">
      <c r="A123" s="15" t="s">
        <v>218</v>
      </c>
      <c r="B123" s="23" t="s">
        <v>340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 spans="1:20" x14ac:dyDescent="0.3">
      <c r="A124" s="15" t="s">
        <v>219</v>
      </c>
      <c r="B124" s="23" t="s">
        <v>341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 spans="1:20" x14ac:dyDescent="0.3">
      <c r="A125" s="15" t="s">
        <v>220</v>
      </c>
      <c r="B125" s="23" t="s">
        <v>342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 spans="1:20" x14ac:dyDescent="0.3">
      <c r="A126" s="15" t="s">
        <v>221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 spans="1:20" x14ac:dyDescent="0.3">
      <c r="A127" s="15" t="s">
        <v>222</v>
      </c>
      <c r="B127" s="23" t="s">
        <v>343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 spans="1:20" x14ac:dyDescent="0.3">
      <c r="A128" s="15" t="s">
        <v>223</v>
      </c>
      <c r="B128" s="23" t="s">
        <v>344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 spans="1:20" x14ac:dyDescent="0.3">
      <c r="A129" s="15" t="s">
        <v>224</v>
      </c>
      <c r="B129" s="23" t="s">
        <v>345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 spans="1:20" x14ac:dyDescent="0.3">
      <c r="A130" s="15" t="s">
        <v>225</v>
      </c>
      <c r="B130" s="23" t="s">
        <v>346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 spans="1:20" x14ac:dyDescent="0.3">
      <c r="A131" s="15" t="s">
        <v>226</v>
      </c>
      <c r="B131" s="23" t="s">
        <v>347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 spans="1:20" x14ac:dyDescent="0.3">
      <c r="A132" s="15" t="s">
        <v>227</v>
      </c>
      <c r="B132" s="23" t="s">
        <v>348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 spans="1:20" x14ac:dyDescent="0.3">
      <c r="A133" s="15" t="s">
        <v>228</v>
      </c>
      <c r="B133" s="23" t="s">
        <v>349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 spans="1:20" x14ac:dyDescent="0.3">
      <c r="A134" s="15" t="s">
        <v>229</v>
      </c>
      <c r="B134" s="23" t="s">
        <v>350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 spans="1:20" x14ac:dyDescent="0.3">
      <c r="A135" s="15" t="s">
        <v>230</v>
      </c>
      <c r="B135" s="23" t="s">
        <v>351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 spans="1:20" x14ac:dyDescent="0.3">
      <c r="A136" s="15" t="s">
        <v>231</v>
      </c>
      <c r="B136" s="23" t="s">
        <v>352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 spans="1:20" x14ac:dyDescent="0.3">
      <c r="A137" s="15" t="s">
        <v>232</v>
      </c>
      <c r="B137" s="23" t="s">
        <v>353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 spans="1:20" x14ac:dyDescent="0.3">
      <c r="A138" s="15" t="s">
        <v>233</v>
      </c>
      <c r="B138" s="23" t="s">
        <v>354</v>
      </c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 spans="1:20" x14ac:dyDescent="0.3">
      <c r="A139" s="15" t="s">
        <v>234</v>
      </c>
      <c r="B139" s="23" t="s">
        <v>355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 spans="1:20" x14ac:dyDescent="0.3">
      <c r="A140" s="15" t="s">
        <v>235</v>
      </c>
      <c r="B140" s="23" t="s">
        <v>356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 spans="1:20" x14ac:dyDescent="0.3">
      <c r="A141" s="15" t="s">
        <v>236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 spans="1:20" x14ac:dyDescent="0.3">
      <c r="A142" s="15" t="s">
        <v>237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 spans="1:20" x14ac:dyDescent="0.3">
      <c r="A143" s="15" t="s">
        <v>238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 spans="1:20" x14ac:dyDescent="0.3">
      <c r="A144" s="15" t="s">
        <v>239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 spans="1:20" x14ac:dyDescent="0.3">
      <c r="A145" s="15" t="s">
        <v>240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 spans="1:20" x14ac:dyDescent="0.3">
      <c r="A146" s="15" t="s">
        <v>241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 spans="1:20" ht="18" customHeight="1" x14ac:dyDescent="0.3">
      <c r="A147" s="15" t="s">
        <v>242</v>
      </c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 spans="1:20" x14ac:dyDescent="0.3">
      <c r="A148" s="15" t="s">
        <v>243</v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 spans="1:20" x14ac:dyDescent="0.3">
      <c r="A149" s="15" t="s">
        <v>244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 spans="1:20" x14ac:dyDescent="0.3">
      <c r="A150" s="15" t="s">
        <v>245</v>
      </c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</sheetData>
  <dataValidations count="5">
    <dataValidation type="list" allowBlank="1" showInputMessage="1" showErrorMessage="1" sqref="E2:E14 L2:L14 I2:I14" xr:uid="{AF9154ED-C28C-DB47-A991-09DAD4B5F88C}">
      <formula1>#REF!</formula1>
    </dataValidation>
    <dataValidation type="list" allowBlank="1" showInputMessage="1" showErrorMessage="1" sqref="D2:D14" xr:uid="{46F8111F-BFDF-3E4E-BE71-52C84CEA82A8}">
      <formula1>#REF!</formula1>
    </dataValidation>
    <dataValidation type="list" allowBlank="1" showInputMessage="1" showErrorMessage="1" sqref="E15:E22" xr:uid="{10BBB2E6-2088-3C43-B50E-D66D57C01A98}">
      <formula1>$W$2:$W$3</formula1>
    </dataValidation>
    <dataValidation type="list" allowBlank="1" showInputMessage="1" showErrorMessage="1" sqref="D15:D22" xr:uid="{1BDD265D-A26F-9746-8183-511D7B81A3CC}">
      <formula1>$W$4:$W$7</formula1>
    </dataValidation>
    <dataValidation type="list" allowBlank="1" showInputMessage="1" showErrorMessage="1" sqref="I15:I150 L15:L150" xr:uid="{F4174715-0540-0647-AFB7-FEA021431EAF}">
      <formula1>$X$1:$X$1</formula1>
    </dataValidation>
  </dataValidations>
  <hyperlinks>
    <hyperlink ref="B23" r:id="rId1" xr:uid="{4FA25762-9C84-4010-919B-C8123B19CD63}"/>
    <hyperlink ref="B24" r:id="rId2" xr:uid="{59AA2118-096B-444C-BB35-5258B5276F31}"/>
    <hyperlink ref="B97" r:id="rId3" xr:uid="{84F95B9F-B11C-4436-AD8E-2DEAA8E2F564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A07-99CA-4896-A5A9-49FB92FD9771}">
  <dimension ref="A1:D10"/>
  <sheetViews>
    <sheetView workbookViewId="0">
      <selection activeCell="D24" sqref="D24"/>
    </sheetView>
  </sheetViews>
  <sheetFormatPr defaultColWidth="8.77734375" defaultRowHeight="14.4" x14ac:dyDescent="0.3"/>
  <cols>
    <col min="1" max="1" width="33" customWidth="1"/>
  </cols>
  <sheetData>
    <row r="1" spans="1:4" x14ac:dyDescent="0.3">
      <c r="B1" t="s">
        <v>64</v>
      </c>
    </row>
    <row r="2" spans="1:4" x14ac:dyDescent="0.3">
      <c r="A2" s="1" t="s">
        <v>6</v>
      </c>
      <c r="B2">
        <v>1</v>
      </c>
      <c r="C2">
        <v>1</v>
      </c>
    </row>
    <row r="3" spans="1:4" ht="32.549999999999997" customHeight="1" x14ac:dyDescent="0.3">
      <c r="A3" s="3" t="s">
        <v>7</v>
      </c>
      <c r="B3">
        <v>1</v>
      </c>
      <c r="C3">
        <v>1</v>
      </c>
    </row>
    <row r="4" spans="1:4" ht="54.45" customHeight="1" x14ac:dyDescent="0.3">
      <c r="A4" s="3" t="s">
        <v>8</v>
      </c>
      <c r="B4">
        <v>0</v>
      </c>
      <c r="C4">
        <v>0</v>
      </c>
    </row>
    <row r="5" spans="1:4" ht="51.45" customHeight="1" x14ac:dyDescent="0.3">
      <c r="A5" s="3" t="s">
        <v>9</v>
      </c>
      <c r="B5">
        <v>1</v>
      </c>
      <c r="C5">
        <f>main_database!N16</f>
        <v>0</v>
      </c>
    </row>
    <row r="6" spans="1:4" ht="34.799999999999997" customHeight="1" x14ac:dyDescent="0.3">
      <c r="A6" s="3" t="s">
        <v>10</v>
      </c>
      <c r="B6">
        <v>1</v>
      </c>
      <c r="C6">
        <v>1</v>
      </c>
      <c r="D6" s="2" t="s">
        <v>70</v>
      </c>
    </row>
    <row r="7" spans="1:4" ht="51.45" customHeight="1" x14ac:dyDescent="0.3">
      <c r="A7" s="3" t="s">
        <v>11</v>
      </c>
      <c r="B7">
        <v>1</v>
      </c>
      <c r="C7">
        <v>1</v>
      </c>
    </row>
    <row r="8" spans="1:4" ht="43.2" x14ac:dyDescent="0.3">
      <c r="A8" s="3" t="s">
        <v>12</v>
      </c>
      <c r="B8">
        <v>1</v>
      </c>
      <c r="C8">
        <v>0</v>
      </c>
    </row>
    <row r="9" spans="1:4" ht="49.8" customHeight="1" x14ac:dyDescent="0.3">
      <c r="A9" s="3" t="s">
        <v>13</v>
      </c>
      <c r="B9">
        <v>1</v>
      </c>
      <c r="C9">
        <v>1</v>
      </c>
    </row>
    <row r="10" spans="1:4" x14ac:dyDescent="0.3">
      <c r="B10" s="4">
        <f>AVERAGE(B2:B9)</f>
        <v>0.875</v>
      </c>
      <c r="C10" s="4">
        <f>AVERAGE(C2:C9)</f>
        <v>0.625</v>
      </c>
    </row>
  </sheetData>
  <hyperlinks>
    <hyperlink ref="A2" r:id="rId1" display="https://www.uni-sofia.bg/index.php/bul/universitet_t/fakulteti/stopanski_fakultet/katedri_i_akademichen_s_stav/katedri/ikonomika_i_upravlenie_po_otrasli/prepodavateli_katedra_ikonomika_i_upravlenie_po_otrasli/doc_d_r_atanas_georgiev_dekan" xr:uid="{0FFDA6B3-77EC-4168-909A-9D07422549FB}"/>
    <hyperlink ref="A3" r:id="rId2" display="https://www.uni-sofia.bg/index.php/bul/universitet_t/fakulteti/stopanski_fakultet/katedri_i_akademichen_s_stav/katedri/ikonomika/prepodavateli_katedra_ikonomika/doc_d_r_dimit_r_zlatinov_r_kovoditel_katedra" xr:uid="{0F95FBBE-6B83-4AB6-B41E-79FCCA457C13}"/>
    <hyperlink ref="A4" r:id="rId3" display="https://www.uni-sofia.bg/index.php/bul/universitet_t/fakulteti/stopanski_fakultet/katedri_i_akademichen_s_stav/katedri/finansi_i_schetovodstvo/prepodavateli_katedra_finansi_i_schetovodstvo/doc_d_r_marselen_jovogan" xr:uid="{28E7D54D-543A-4BBB-91F8-0C6BF0721C1A}"/>
    <hyperlink ref="A5" r:id="rId4" display="https://www.uni-sofia.bg/index.php/bul/universitet_t/fakulteti/stopanski_fakultet/katedri_i_akademichen_s_stav/katedri/stopansko_upravlenie/prepodavateli_katedra_stopansko_upravlenie/doc_d_r_todor_yal_mov" xr:uid="{0BC80875-1DE2-44C2-B53E-4538696E4769}"/>
    <hyperlink ref="A6" r:id="rId5" display="https://www.uni-sofia.bg/index.php/bul/universitet_t/fakulteti/stopanski_fakultet/katedri_i_akademichen_s_stav/katedri/statistika_i_ikonometriya/prepodavateli_katedra_statistika_i_ikonometriya/doc_d_r_nikolaj_netov_r_kovoditel_katedra" xr:uid="{328647CA-FFCF-4676-A65D-D8EE4CC2A4EF}"/>
    <hyperlink ref="A7" r:id="rId6" display="https://www.uni-sofia.bg/index.php/bul/universitet_t/fakulteti/stopanski_fakultet/katedri_i_akademichen_s_stav/katedri/stopansko_upravlenie/prepodavateli_katedra_stopansko_upravlenie/doc_d_r_ivan_angelov" xr:uid="{2599ED96-1496-441D-85FE-470859EA8858}"/>
    <hyperlink ref="A8" r:id="rId7" display="https://www.uni-sofia.bg/index.php/bul/universitet_t/fakulteti/stopanski_fakultet/katedri_i_akademichen_s_stav/katedri/ikonomika_i_upravlenie_po_otrasli/prepodavateli_katedra_ikonomika_i_upravlenie_po_otrasli/doc_d_r_marina_stefanova_r_kovoditel_katedra" xr:uid="{8414B369-634E-4D44-A10C-6E22E9A3AD4D}"/>
    <hyperlink ref="A9" r:id="rId8" display="https://www.uni-sofia.bg/index.php/bul/universitet_t/fakulteti/stopanski_fakultet/katedri_i_akademichen_s_stav/katedri/ikonomika/prepodavateli_katedra_ikonomika/gl_as_d_r_iliya_atanasov" xr:uid="{2426153D-868E-42C3-8E94-51E30C17AA62}"/>
    <hyperlink ref="D6" r:id="rId9" xr:uid="{88DC7EAA-FF7C-4227-964A-1CC8564E82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36BC-3271-431D-8891-2C6C4CE20E6A}">
  <dimension ref="A1:C31"/>
  <sheetViews>
    <sheetView workbookViewId="0">
      <selection activeCell="B2" sqref="B2:B31"/>
    </sheetView>
  </sheetViews>
  <sheetFormatPr defaultColWidth="8.77734375" defaultRowHeight="14.4" x14ac:dyDescent="0.3"/>
  <cols>
    <col min="1" max="1" width="62.44140625" customWidth="1"/>
  </cols>
  <sheetData>
    <row r="1" spans="1:3" x14ac:dyDescent="0.3">
      <c r="A1" t="s">
        <v>14</v>
      </c>
    </row>
    <row r="2" spans="1:3" x14ac:dyDescent="0.3">
      <c r="A2" t="s">
        <v>15</v>
      </c>
      <c r="B2">
        <v>0</v>
      </c>
      <c r="C2">
        <v>0</v>
      </c>
    </row>
    <row r="4" spans="1:3" x14ac:dyDescent="0.3">
      <c r="A4" t="s">
        <v>16</v>
      </c>
    </row>
    <row r="5" spans="1:3" x14ac:dyDescent="0.3">
      <c r="A5" t="s">
        <v>17</v>
      </c>
      <c r="B5">
        <v>0</v>
      </c>
      <c r="C5">
        <v>0</v>
      </c>
    </row>
    <row r="7" spans="1:3" x14ac:dyDescent="0.3">
      <c r="A7" t="s">
        <v>18</v>
      </c>
    </row>
    <row r="8" spans="1:3" x14ac:dyDescent="0.3">
      <c r="A8" t="s">
        <v>19</v>
      </c>
      <c r="B8">
        <v>0</v>
      </c>
      <c r="C8">
        <v>0</v>
      </c>
    </row>
    <row r="9" spans="1:3" x14ac:dyDescent="0.3">
      <c r="A9" t="s">
        <v>20</v>
      </c>
      <c r="B9">
        <v>1</v>
      </c>
      <c r="C9">
        <v>1</v>
      </c>
    </row>
    <row r="10" spans="1:3" x14ac:dyDescent="0.3">
      <c r="A10" t="s">
        <v>21</v>
      </c>
    </row>
    <row r="11" spans="1:3" x14ac:dyDescent="0.3">
      <c r="A11" t="s">
        <v>22</v>
      </c>
      <c r="B11">
        <v>1</v>
      </c>
      <c r="C11" t="e">
        <f>main_database!#REF!</f>
        <v>#REF!</v>
      </c>
    </row>
    <row r="12" spans="1:3" x14ac:dyDescent="0.3">
      <c r="A12" t="s">
        <v>23</v>
      </c>
      <c r="B12">
        <v>1</v>
      </c>
      <c r="C12">
        <v>1</v>
      </c>
    </row>
    <row r="13" spans="1:3" x14ac:dyDescent="0.3">
      <c r="A13" t="s">
        <v>24</v>
      </c>
      <c r="B13">
        <v>1</v>
      </c>
      <c r="C13">
        <v>1</v>
      </c>
    </row>
    <row r="15" spans="1:3" x14ac:dyDescent="0.3">
      <c r="A15" t="s">
        <v>25</v>
      </c>
    </row>
    <row r="16" spans="1:3" x14ac:dyDescent="0.3">
      <c r="A16" t="s">
        <v>26</v>
      </c>
      <c r="B16">
        <v>0</v>
      </c>
      <c r="C16">
        <v>0</v>
      </c>
    </row>
    <row r="17" spans="1:3" x14ac:dyDescent="0.3">
      <c r="A17" t="s">
        <v>27</v>
      </c>
      <c r="B17">
        <v>1</v>
      </c>
      <c r="C17">
        <v>1</v>
      </c>
    </row>
    <row r="18" spans="1:3" x14ac:dyDescent="0.3">
      <c r="A18" t="s">
        <v>21</v>
      </c>
    </row>
    <row r="19" spans="1:3" x14ac:dyDescent="0.3">
      <c r="A19" t="s">
        <v>28</v>
      </c>
      <c r="B19">
        <v>1</v>
      </c>
      <c r="C19">
        <v>1</v>
      </c>
    </row>
    <row r="20" spans="1:3" x14ac:dyDescent="0.3">
      <c r="A20" t="s">
        <v>29</v>
      </c>
      <c r="B20">
        <v>0</v>
      </c>
      <c r="C20">
        <v>0</v>
      </c>
    </row>
    <row r="21" spans="1:3" x14ac:dyDescent="0.3">
      <c r="A21" t="s">
        <v>30</v>
      </c>
      <c r="B21">
        <v>1</v>
      </c>
      <c r="C21">
        <v>1</v>
      </c>
    </row>
    <row r="23" spans="1:3" x14ac:dyDescent="0.3">
      <c r="A23" t="s">
        <v>31</v>
      </c>
    </row>
    <row r="24" spans="1:3" x14ac:dyDescent="0.3">
      <c r="A24" t="s">
        <v>32</v>
      </c>
      <c r="B24">
        <v>1</v>
      </c>
      <c r="C24">
        <v>1</v>
      </c>
    </row>
    <row r="25" spans="1:3" x14ac:dyDescent="0.3">
      <c r="A25" t="s">
        <v>33</v>
      </c>
      <c r="B25">
        <v>0</v>
      </c>
      <c r="C25">
        <v>0</v>
      </c>
    </row>
    <row r="26" spans="1:3" x14ac:dyDescent="0.3">
      <c r="A26" t="s">
        <v>21</v>
      </c>
    </row>
    <row r="27" spans="1:3" x14ac:dyDescent="0.3">
      <c r="A27" t="s">
        <v>34</v>
      </c>
      <c r="B27">
        <v>1</v>
      </c>
      <c r="C27">
        <v>0</v>
      </c>
    </row>
    <row r="28" spans="1:3" x14ac:dyDescent="0.3">
      <c r="A28" t="s">
        <v>35</v>
      </c>
      <c r="B28">
        <v>0</v>
      </c>
      <c r="C28">
        <v>0</v>
      </c>
    </row>
    <row r="29" spans="1:3" x14ac:dyDescent="0.3">
      <c r="A29" t="s">
        <v>36</v>
      </c>
      <c r="B29">
        <v>0</v>
      </c>
      <c r="C29">
        <v>0</v>
      </c>
    </row>
    <row r="30" spans="1:3" x14ac:dyDescent="0.3">
      <c r="A30" t="s">
        <v>37</v>
      </c>
      <c r="B30">
        <v>0</v>
      </c>
      <c r="C30">
        <v>0</v>
      </c>
    </row>
    <row r="31" spans="1:3" x14ac:dyDescent="0.3">
      <c r="A31" t="s">
        <v>38</v>
      </c>
      <c r="B31">
        <v>1</v>
      </c>
      <c r="C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4E56-1A7B-4403-9F39-DACA15C53079}">
  <dimension ref="A1:C19"/>
  <sheetViews>
    <sheetView workbookViewId="0">
      <selection activeCell="B2" sqref="B2:B13"/>
    </sheetView>
  </sheetViews>
  <sheetFormatPr defaultColWidth="8.77734375" defaultRowHeight="14.4" x14ac:dyDescent="0.3"/>
  <cols>
    <col min="1" max="1" width="102" customWidth="1"/>
  </cols>
  <sheetData>
    <row r="1" spans="1:3" x14ac:dyDescent="0.3">
      <c r="A1" t="s">
        <v>39</v>
      </c>
    </row>
    <row r="2" spans="1:3" x14ac:dyDescent="0.3">
      <c r="A2" t="s">
        <v>40</v>
      </c>
      <c r="B2">
        <v>1</v>
      </c>
      <c r="C2">
        <v>1</v>
      </c>
    </row>
    <row r="4" spans="1:3" x14ac:dyDescent="0.3">
      <c r="A4" t="s">
        <v>21</v>
      </c>
    </row>
    <row r="5" spans="1:3" x14ac:dyDescent="0.3">
      <c r="A5" t="s">
        <v>41</v>
      </c>
      <c r="B5">
        <v>1</v>
      </c>
      <c r="C5">
        <v>1</v>
      </c>
    </row>
    <row r="6" spans="1:3" x14ac:dyDescent="0.3">
      <c r="A6" t="s">
        <v>42</v>
      </c>
      <c r="B6">
        <v>1</v>
      </c>
      <c r="C6">
        <v>1</v>
      </c>
    </row>
    <row r="7" spans="1:3" x14ac:dyDescent="0.3">
      <c r="A7" t="s">
        <v>43</v>
      </c>
      <c r="B7">
        <v>1</v>
      </c>
      <c r="C7">
        <v>0</v>
      </c>
    </row>
    <row r="8" spans="1:3" x14ac:dyDescent="0.3">
      <c r="A8" t="s">
        <v>44</v>
      </c>
      <c r="B8">
        <v>1</v>
      </c>
      <c r="C8">
        <v>1</v>
      </c>
    </row>
    <row r="9" spans="1:3" x14ac:dyDescent="0.3">
      <c r="A9" t="s">
        <v>45</v>
      </c>
      <c r="B9">
        <v>1</v>
      </c>
      <c r="C9">
        <v>1</v>
      </c>
    </row>
    <row r="10" spans="1:3" x14ac:dyDescent="0.3">
      <c r="A10" t="s">
        <v>46</v>
      </c>
      <c r="B10">
        <v>1</v>
      </c>
      <c r="C10">
        <v>0</v>
      </c>
    </row>
    <row r="11" spans="1:3" x14ac:dyDescent="0.3">
      <c r="A11" t="s">
        <v>47</v>
      </c>
      <c r="B11">
        <v>1</v>
      </c>
      <c r="C11">
        <v>1</v>
      </c>
    </row>
    <row r="12" spans="1:3" x14ac:dyDescent="0.3">
      <c r="A12" t="s">
        <v>48</v>
      </c>
      <c r="B12">
        <v>1</v>
      </c>
      <c r="C12">
        <v>1</v>
      </c>
    </row>
    <row r="13" spans="1:3" x14ac:dyDescent="0.3">
      <c r="A13" t="s">
        <v>49</v>
      </c>
      <c r="B13">
        <v>0</v>
      </c>
      <c r="C13">
        <v>0</v>
      </c>
    </row>
    <row r="15" spans="1:3" x14ac:dyDescent="0.3">
      <c r="A15" t="s">
        <v>50</v>
      </c>
      <c r="B15">
        <v>0</v>
      </c>
    </row>
    <row r="17" spans="1:2" x14ac:dyDescent="0.3">
      <c r="A17" t="s">
        <v>51</v>
      </c>
      <c r="B17">
        <v>0</v>
      </c>
    </row>
    <row r="18" spans="1:2" x14ac:dyDescent="0.3">
      <c r="A18" t="s">
        <v>62</v>
      </c>
      <c r="B18">
        <f>AVERAGE(B1:B17)</f>
        <v>0.75</v>
      </c>
    </row>
    <row r="19" spans="1:2" x14ac:dyDescent="0.3">
      <c r="A19" t="s">
        <v>63</v>
      </c>
      <c r="B19">
        <f>AVERAGE(B2:B13)</f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2357-44EA-4A61-8F70-D829CC7F30A4}">
  <dimension ref="A1:B13"/>
  <sheetViews>
    <sheetView workbookViewId="0">
      <selection activeCell="D18" sqref="D18"/>
    </sheetView>
  </sheetViews>
  <sheetFormatPr defaultColWidth="8.77734375" defaultRowHeight="14.4" x14ac:dyDescent="0.3"/>
  <cols>
    <col min="1" max="1" width="40.6640625" customWidth="1"/>
  </cols>
  <sheetData>
    <row r="1" spans="1:2" x14ac:dyDescent="0.3">
      <c r="A1" s="25" t="s">
        <v>52</v>
      </c>
      <c r="B1" s="25"/>
    </row>
    <row r="2" spans="1:2" x14ac:dyDescent="0.3">
      <c r="A2" t="s">
        <v>53</v>
      </c>
      <c r="B2">
        <v>1</v>
      </c>
    </row>
    <row r="4" spans="1:2" x14ac:dyDescent="0.3">
      <c r="A4" s="25" t="s">
        <v>54</v>
      </c>
      <c r="B4" s="25"/>
    </row>
    <row r="5" spans="1:2" x14ac:dyDescent="0.3">
      <c r="A5" t="s">
        <v>55</v>
      </c>
      <c r="B5">
        <v>0</v>
      </c>
    </row>
    <row r="7" spans="1:2" x14ac:dyDescent="0.3">
      <c r="A7" s="25" t="s">
        <v>61</v>
      </c>
      <c r="B7" s="25"/>
    </row>
    <row r="8" spans="1:2" x14ac:dyDescent="0.3">
      <c r="A8" t="s">
        <v>56</v>
      </c>
      <c r="B8">
        <v>1</v>
      </c>
    </row>
    <row r="9" spans="1:2" x14ac:dyDescent="0.3">
      <c r="A9" t="s">
        <v>57</v>
      </c>
      <c r="B9">
        <v>0</v>
      </c>
    </row>
    <row r="10" spans="1:2" x14ac:dyDescent="0.3">
      <c r="A10" t="s">
        <v>58</v>
      </c>
      <c r="B10">
        <v>1</v>
      </c>
    </row>
    <row r="11" spans="1:2" x14ac:dyDescent="0.3">
      <c r="A11" t="s">
        <v>59</v>
      </c>
      <c r="B11">
        <v>1</v>
      </c>
    </row>
    <row r="12" spans="1:2" x14ac:dyDescent="0.3">
      <c r="A12" t="s">
        <v>60</v>
      </c>
      <c r="B12">
        <v>1</v>
      </c>
    </row>
    <row r="13" spans="1:2" x14ac:dyDescent="0.3">
      <c r="B13" s="4">
        <f>AVERAGE(B2:B12)</f>
        <v>0.7142857142857143</v>
      </c>
    </row>
  </sheetData>
  <mergeCells count="3">
    <mergeCell ref="A7:B7"/>
    <mergeCell ref="A4:B4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Scopus_filters</vt:lpstr>
      <vt:lpstr>main_database</vt:lpstr>
      <vt:lpstr>Висша администрация</vt:lpstr>
      <vt:lpstr>общо събрание</vt:lpstr>
      <vt:lpstr> Учебната комисия</vt:lpstr>
      <vt:lpstr>комисия по атестация</vt:lpstr>
      <vt:lpstr>'общо събрание'!eztoc197723_2</vt:lpstr>
      <vt:lpstr>'общо събрание'!eztoc197723_3</vt:lpstr>
      <vt:lpstr>'общо събрание'!eztoc197723_4</vt:lpstr>
      <vt:lpstr>'общо събрание'!eztoc197723_5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2026-02-02T15:12:45Z</dcterms:created>
  <dcterms:modified xsi:type="dcterms:W3CDTF">2026-03-01T12:22:48Z</dcterms:modified>
</cp:coreProperties>
</file>