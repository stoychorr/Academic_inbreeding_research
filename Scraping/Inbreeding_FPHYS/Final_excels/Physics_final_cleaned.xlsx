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toycho.rusinov\Desktop\inbreeding\inbreeding_at_FPhys\"/>
    </mc:Choice>
  </mc:AlternateContent>
  <xr:revisionPtr revIDLastSave="0" documentId="13_ncr:1_{A53C4659-DBEB-457C-AAD2-0739B88D4E4B}" xr6:coauthVersionLast="36" xr6:coauthVersionMax="36" xr10:uidLastSave="{00000000-0000-0000-0000-000000000000}"/>
  <bookViews>
    <workbookView xWindow="0" yWindow="0" windowWidth="17256" windowHeight="6636" activeTab="1" xr2:uid="{00000000-000D-0000-FFFF-FFFF00000000}"/>
  </bookViews>
  <sheets>
    <sheet name="main_df_FPhys" sheetId="1" r:id="rId1"/>
    <sheet name="defended_abroad" sheetId="2" r:id="rId2"/>
  </sheets>
  <calcPr calcId="191029"/>
</workbook>
</file>

<file path=xl/calcChain.xml><?xml version="1.0" encoding="utf-8"?>
<calcChain xmlns="http://schemas.openxmlformats.org/spreadsheetml/2006/main">
  <c r="F114"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2" i="1"/>
  <c r="E1" i="2" l="1"/>
</calcChain>
</file>

<file path=xl/sharedStrings.xml><?xml version="1.0" encoding="utf-8"?>
<sst xmlns="http://schemas.openxmlformats.org/spreadsheetml/2006/main" count="1424" uniqueCount="818">
  <si>
    <t>Name</t>
  </si>
  <si>
    <t>NACID_URL</t>
  </si>
  <si>
    <t>Phd_Institution</t>
  </si>
  <si>
    <t>PhD_Faculty</t>
  </si>
  <si>
    <t>PhD_PrimaryUnit</t>
  </si>
  <si>
    <t>PhD_Degree</t>
  </si>
  <si>
    <t>PhD_Field</t>
  </si>
  <si>
    <t>PhD_AwardDate</t>
  </si>
  <si>
    <t>Dissertation_Title</t>
  </si>
  <si>
    <t>Current_Positions_Headers</t>
  </si>
  <si>
    <t>Past_Positions_Headers</t>
  </si>
  <si>
    <t>Current_Positions</t>
  </si>
  <si>
    <t>Past_Positions</t>
  </si>
  <si>
    <t>ERROR</t>
  </si>
  <si>
    <t>доц. д-р Евгени Овчаров</t>
  </si>
  <si>
    <t>https://ras.nacid.bg/dissertation-preview/25762</t>
  </si>
  <si>
    <t xml:space="preserve"> </t>
  </si>
  <si>
    <t xml:space="preserve">ОНС "доктор" </t>
  </si>
  <si>
    <t xml:space="preserve">4.1. Физически науки Специалност: Астрофизика и звездна астрономия </t>
  </si>
  <si>
    <t xml:space="preserve">30.03.2009 </t>
  </si>
  <si>
    <t>Доцент - Софийски университет "Св. Климент Охридски"</t>
  </si>
  <si>
    <t>Доцент - Софийски университет "Св. Климент Охридски", 07.02.2012</t>
  </si>
  <si>
    <t>доц. д-р Петко Недялков</t>
  </si>
  <si>
    <t>https://ras.nacid.bg/dissertation-preview/22992</t>
  </si>
  <si>
    <t xml:space="preserve">21.12.1998 </t>
  </si>
  <si>
    <t>Доцент - ВАК | Асистент - Софийски университет "Св. Климент Охридски"</t>
  </si>
  <si>
    <t>Доцент - Софийски университет "Св. Климент Охридски", 20.06.2005</t>
  </si>
  <si>
    <t>Асистент - Софийски университет "Св. Климент Охридски", 20.04.1994 | Доцент - ВАК, 16.05.2005</t>
  </si>
  <si>
    <t>доц. д-р Тодор Велчев</t>
  </si>
  <si>
    <t>https://ras.nacid.bg/dissertation-preview/27215</t>
  </si>
  <si>
    <t xml:space="preserve">20.02.2006 </t>
  </si>
  <si>
    <t>Доцент - Софийски университет "Св. Климент Охридски", 01.12.2014</t>
  </si>
  <si>
    <t>доц. д-р Антония Вълчева</t>
  </si>
  <si>
    <t>https://ras.nacid.bg/dissertation-preview/25775</t>
  </si>
  <si>
    <t xml:space="preserve">27.04.2009 </t>
  </si>
  <si>
    <t>Доцент - Софийски университет "Св. Климент Охридски", 16.01.2019</t>
  </si>
  <si>
    <t>доц. д-р Владимир Божилов</t>
  </si>
  <si>
    <t>https://ras.nacid.bg/dissertation-preview/41613</t>
  </si>
  <si>
    <t xml:space="preserve">Софийски университет "Св. Климент Охридски" </t>
  </si>
  <si>
    <t xml:space="preserve">Физически факултет </t>
  </si>
  <si>
    <t xml:space="preserve">Астрономия </t>
  </si>
  <si>
    <t xml:space="preserve">4.1. Физически науки </t>
  </si>
  <si>
    <t xml:space="preserve">16.06.2014 </t>
  </si>
  <si>
    <t>Главен асистент - Софийски университет "Св. Климент Охридски"</t>
  </si>
  <si>
    <t>Доцент - Софийски университет "Св. Климент Охридски", 16.12.2021</t>
  </si>
  <si>
    <t>Главен асистент - Софийски университет "Св. Климент Охридски", 02.07.2015</t>
  </si>
  <si>
    <t>гл. ас. д-р Георги Петров</t>
  </si>
  <si>
    <t>https://ras.nacid.bg/dissertation-preview/39622</t>
  </si>
  <si>
    <t xml:space="preserve">23.11.2012 </t>
  </si>
  <si>
    <t>Главен асистент - Софийски университет "Св. Климент Охридски", 11.11.2016</t>
  </si>
  <si>
    <t>гл. ас. д-р Орлин Станчев</t>
  </si>
  <si>
    <t>https://ras.nacid.bg/dissertation-preview/46569</t>
  </si>
  <si>
    <t xml:space="preserve">05.05.2017 </t>
  </si>
  <si>
    <t>Главен асистент - Софийски университет "Св. Климент Охридски", 08.11.2017</t>
  </si>
  <si>
    <t>Доц. д-р Мариян Богомилов</t>
  </si>
  <si>
    <t xml:space="preserve">4.1. Физически науки Специалност: Физика на елементарните частици и високите енергии (вкл. модели на взаимодействие и систематика на елементарните частици; структура и свойства на елементарните частици и резонанси; конкретни реакции и феноменология; експериментална техника на високите енергии; физика на космическите лъчи) </t>
  </si>
  <si>
    <t xml:space="preserve">05.02.2007 </t>
  </si>
  <si>
    <t>Асистент - Софийски университет "Св. Климент Охридски"</t>
  </si>
  <si>
    <t>Доцент - Софийски университет "Св. Климент Охридски", 21.10.2016</t>
  </si>
  <si>
    <t>Асистент - Софийски университет "Св. Климент Охридски", 30.01.2006</t>
  </si>
  <si>
    <t>Проф. дфзн Георги Райновски</t>
  </si>
  <si>
    <t>https://ras.nacid.bg/dissertation-preview/2802</t>
  </si>
  <si>
    <t xml:space="preserve">Атомна физика Атомна физика </t>
  </si>
  <si>
    <t xml:space="preserve">НС "доктор на науките" НС "доктор на науките" </t>
  </si>
  <si>
    <t xml:space="preserve">4.1. Физически науки 4.1. Физически науки </t>
  </si>
  <si>
    <t xml:space="preserve">25.10.2012 25.10.2012 </t>
  </si>
  <si>
    <t>Професор - Софийски университет "Св. Климент Охридски"</t>
  </si>
  <si>
    <t>Доцент - ВАК</t>
  </si>
  <si>
    <t>Професор - Софийски университет "Св. Климент Охридски", 08.01.2015</t>
  </si>
  <si>
    <t>Доцент - ВАК, 30.08.2007</t>
  </si>
  <si>
    <t>Доц. д-р Илко Русинов</t>
  </si>
  <si>
    <t>https://ras.nacid.bg/dissertation-preview/2845</t>
  </si>
  <si>
    <t xml:space="preserve">24.02.1998 </t>
  </si>
  <si>
    <t>Доцент - Софийски университет "Св. Климент Охридски", 16.07.2007</t>
  </si>
  <si>
    <t>Доцент - ВАК, 28.05.2007</t>
  </si>
  <si>
    <t>Доц. д-р Стефан Лалковски</t>
  </si>
  <si>
    <t>https://ras.nacid.bg/dissertation-preview/26249</t>
  </si>
  <si>
    <t xml:space="preserve">4.1. Физически науки Специалност: Ядрена физика (вкл. ядрени модели и структура на атомното ядро; свойства на атомните ядра и експериментална ядрена техника; ядрени реакции и физика на деленето - радиоактивност) </t>
  </si>
  <si>
    <t xml:space="preserve">07.06.2004 </t>
  </si>
  <si>
    <t>Доцент - Софийски университет "Св. Климент Охридски", 10.05.2017</t>
  </si>
  <si>
    <t>Асистент - Софийски университет "Св. Климент Охридски", 22.01.2004</t>
  </si>
  <si>
    <t>Доц. д-р Красимир Митев</t>
  </si>
  <si>
    <t>https://ras.nacid.bg/dissertation-preview/36894</t>
  </si>
  <si>
    <t>Доцент - Софийски университет "Св. Климент Охридски", 23.01.2013</t>
  </si>
  <si>
    <t xml:space="preserve"> Locator.wait_for: Timeout 60000ms exceeded.
Call log:
  - waiting for locator("h4.panel-title").filter(has_text="Научни степени").locator("../following-sibling::div[1]").locator("div.panel-default").first.get_by_text("Диплома No/дата:") to be visible
</t>
  </si>
  <si>
    <t>Доц. д-р Калин Гладнишки</t>
  </si>
  <si>
    <t>https://ras.nacid.bg/dissertation-preview/29890</t>
  </si>
  <si>
    <t xml:space="preserve">21.02.2005 </t>
  </si>
  <si>
    <t>Доцент - Софийски университет "Св. Климент Охридски", 07.02.2013</t>
  </si>
  <si>
    <t>Доц. д-р Борислав Павлов</t>
  </si>
  <si>
    <t>https://ras.nacid.bg/dissertation-preview/30909</t>
  </si>
  <si>
    <t xml:space="preserve">21.07.2008 </t>
  </si>
  <si>
    <t>Доцент - Софийски университет "Св. Климент Охридски", 07.03.2014</t>
  </si>
  <si>
    <t>Доц. д-р Венелин Кожухаров</t>
  </si>
  <si>
    <t>https://ras.nacid.bg/dissertation-preview/27272</t>
  </si>
  <si>
    <t xml:space="preserve">18.08.2008 </t>
  </si>
  <si>
    <t>Доцент - Софийски университет "Св. Климент Охридски", 08.04.2016</t>
  </si>
  <si>
    <t>Асистент - Софийски университет "Св. Климент Охридски", 19.11.2007</t>
  </si>
  <si>
    <t>Доц. д-р Пейчо Петков</t>
  </si>
  <si>
    <t>https://ras.nacid.bg/dissertation-preview/25773</t>
  </si>
  <si>
    <t>Доцент - Софийски университет "Св. Климент Охридски", 08.05.2020</t>
  </si>
  <si>
    <t>Главен асистент - Софийски университет "Св. Климент Охридски", 17.06.2013</t>
  </si>
  <si>
    <t>Доц. д-р Ивелина Димитрова</t>
  </si>
  <si>
    <t>https://ras.nacid.bg/dissertation-preview/38604</t>
  </si>
  <si>
    <t xml:space="preserve">Атомна физика </t>
  </si>
  <si>
    <t xml:space="preserve">23.12.2011 </t>
  </si>
  <si>
    <t>Доцент - Софийски университет "Св. Климент Охридски", 25.10.2016</t>
  </si>
  <si>
    <t>Главен асистент - Софийски университет "Св. Климент Охридски", 06.03.2013</t>
  </si>
  <si>
    <t>Доц. д-р Страхил Георгиев</t>
  </si>
  <si>
    <t>https://ras.nacid.bg/dissertation-preview/39240</t>
  </si>
  <si>
    <t xml:space="preserve">15.07.2012 </t>
  </si>
  <si>
    <t>Доцент - Софийски университет "Св. Климент Охридски", 04.07.2022</t>
  </si>
  <si>
    <t>Доц. д-р Диана Кочева</t>
  </si>
  <si>
    <t>https://ras.nacid.bg/dissertation-preview/47985</t>
  </si>
  <si>
    <t xml:space="preserve">25.09.2018 </t>
  </si>
  <si>
    <t>Асистент - Софийски университет "Св. Климент Охридски" | Главен асистент - Софийски университет "Св. Климент Охридски"</t>
  </si>
  <si>
    <t>Доцент - Софийски университет "Св. Климент Охридски", 18.12.2025</t>
  </si>
  <si>
    <t>Асистент - Софийски университет "Св. Климент Охридски", 17.02.2016 | Главен асистент - Софийски университет "Св. Климент Охридски", 12.10.2018</t>
  </si>
  <si>
    <t>Гл. ас. д-р Галина Ванкова-Кирилова</t>
  </si>
  <si>
    <t>https://ras.nacid.bg/dissertation-preview/36963</t>
  </si>
  <si>
    <t xml:space="preserve">ОНС "доктор" Специалност: Физика на елементарните частици и високите енергии (вкл. модели на взаимодействие и систематика на елементарните частици; структура и свойства на елементарните частици и резонанси; конкретни реакции и феноменология; експериментална техника на високите енергии; физика на космическите лъчи) </t>
  </si>
  <si>
    <t xml:space="preserve">10.05.2010 </t>
  </si>
  <si>
    <t>Главен асистент - Софийски университет "Св. Климент Охридски", 01.06.2016</t>
  </si>
  <si>
    <t>Асистент - Софийски университет "Св. Климент Охридски", 02.11.2005</t>
  </si>
  <si>
    <t>Гл. ас. д-р Мартин Джонголов</t>
  </si>
  <si>
    <t>https://ras.nacid.bg/dissertation-preview/42599</t>
  </si>
  <si>
    <t>Главен асистент - Софийски университет "Св. Климент Охридски", 16.03.2015</t>
  </si>
  <si>
    <t>Гл. ас. д-р Николай Петров</t>
  </si>
  <si>
    <t>https://ras.nacid.bg/dissertation-preview/41142</t>
  </si>
  <si>
    <t xml:space="preserve">15.01.2014 </t>
  </si>
  <si>
    <t>Главен асистент - Българска академия на науките</t>
  </si>
  <si>
    <t>Главен асистент - Софийски университет "Св. Климент Охридски", 03.12.2015</t>
  </si>
  <si>
    <t>Главен асистент - Българска академия на науките, 24.07.2015</t>
  </si>
  <si>
    <t>Гл. ас. д-р Момчил Найденов</t>
  </si>
  <si>
    <t>https://ras.nacid.bg/dissertation-preview/66774</t>
  </si>
  <si>
    <t xml:space="preserve">30.06.2020 </t>
  </si>
  <si>
    <t>Главен асистент - Софийски университет "Св. Климент Охридски", 29.11.2023</t>
  </si>
  <si>
    <t>Асистент - Софийски университет "Св. Климент Охридски", 27.10.2021</t>
  </si>
  <si>
    <t>проф. дфзн Александър Драйшу</t>
  </si>
  <si>
    <t>https://ras.nacid.bg/dissertation-preview/23127</t>
  </si>
  <si>
    <t xml:space="preserve">  </t>
  </si>
  <si>
    <t>Професор - ВАК | Доцент - ВАК</t>
  </si>
  <si>
    <t>Професор - Софийски университет "Св. Климент Охридски", 07.06.2004</t>
  </si>
  <si>
    <t>Доцент - ВАК, 24.04.1998 | Професор - ВАК, 21.05.2004</t>
  </si>
  <si>
    <t>доц. д-р Иван Бъчваров</t>
  </si>
  <si>
    <t>https://ras.nacid.bg/dissertation-preview/15245</t>
  </si>
  <si>
    <t xml:space="preserve">ОНС "доктор" Специалност: Физика на вълновите процеси (вкл. акустични трептения и вълни; оптика; нелинейни трептения и вълни - нелинейна оптика и квантова електроника; оптоелектроника и лазерна техника) </t>
  </si>
  <si>
    <t xml:space="preserve">21.10.1994 </t>
  </si>
  <si>
    <t>Доцент - Софийски университет "Св. Климент Охридски", 14.07.2003</t>
  </si>
  <si>
    <t>Доцент - ВАК, 30.04.2003</t>
  </si>
  <si>
    <t>доц. д-р Любомир Стоянов</t>
  </si>
  <si>
    <t>https://ras.nacid.bg/dissertation-preview/43809</t>
  </si>
  <si>
    <t xml:space="preserve">Квантова електроника </t>
  </si>
  <si>
    <t xml:space="preserve">13.11.2015 </t>
  </si>
  <si>
    <t>Доцент - Софийски университет "Св. Климент Охридски", 19.12.2025</t>
  </si>
  <si>
    <t>Главен асистент - Софийски университет "Св. Климент Охридски", 20.04.2021</t>
  </si>
  <si>
    <t>гл. ас. д-р Наско Горунски</t>
  </si>
  <si>
    <t>https://ras.nacid.bg/dissertation-preview/40778</t>
  </si>
  <si>
    <t xml:space="preserve">25.10.2013 </t>
  </si>
  <si>
    <t>Главен асистент - Софийски университет "Св. Климент Охридски", 28.11.2015</t>
  </si>
  <si>
    <t>гл. ас. д-р Николай Димитров</t>
  </si>
  <si>
    <t>https://ras.nacid.bg/dissertation-preview/41739</t>
  </si>
  <si>
    <t xml:space="preserve">20.06.2014 </t>
  </si>
  <si>
    <t>Главен асистент - Софийски университет "Св. Климент Охридски", 03.08.2016</t>
  </si>
  <si>
    <t>Асистент - Софийски университет "Св. Климент Охридски", 17.10.2014</t>
  </si>
  <si>
    <t>гл. ас. д-р Мая Жекова</t>
  </si>
  <si>
    <t>https://ras.nacid.bg/dissertation-preview/66989</t>
  </si>
  <si>
    <t>Главен асистент - Софийски университет "Св. Климент Охридски", 25.10.2021</t>
  </si>
  <si>
    <t>доц. д-р Ренета Димитрова</t>
  </si>
  <si>
    <t>https://ras.nacid.bg/dissertation-preview/27406</t>
  </si>
  <si>
    <t xml:space="preserve">4.1. Физически науки Специалност: Физика на океана, атмосферата и околоземното пространство </t>
  </si>
  <si>
    <t xml:space="preserve">13.05.2002 </t>
  </si>
  <si>
    <t>Доцент - Българска академия на науките</t>
  </si>
  <si>
    <t>Доцент - Софийски университет "Св. Климент Охридски", 30.11.2015</t>
  </si>
  <si>
    <t>Доцент - Българска академия на науките, 29.05.2012</t>
  </si>
  <si>
    <t>доц. д-р Николай Рачев</t>
  </si>
  <si>
    <t>https://ras.nacid.bg/dissertation-preview/3567</t>
  </si>
  <si>
    <t xml:space="preserve">14.04.2000 </t>
  </si>
  <si>
    <t>Доцент - Софийски университет "Св. Климент Охридски", 19.05.2008</t>
  </si>
  <si>
    <t>Доцент - ВАК, 12.05.2008</t>
  </si>
  <si>
    <t>доц. д-р Елисавета Пенева</t>
  </si>
  <si>
    <t>https://ras.nacid.bg/dissertation-preview/25569</t>
  </si>
  <si>
    <t xml:space="preserve">12.12.2001 </t>
  </si>
  <si>
    <t>Доцент - Софийски университет "Св. Климент Охридски", 11.10.2011</t>
  </si>
  <si>
    <t>Главен асистент - Софийски университет "Св. Климент Охридски", 28.02.2006</t>
  </si>
  <si>
    <t>доц. д-р Гергана Герова</t>
  </si>
  <si>
    <t>https://ras.nacid.bg/dissertation-preview/40438</t>
  </si>
  <si>
    <t>Доцент - Софийски университет "Св. Климент Охридски", 04.07.2013</t>
  </si>
  <si>
    <t>Главен асистент - Софийски университет "Св. Климент Охридски", 01.12.2010</t>
  </si>
  <si>
    <t>доц. д-р Ренета Райкова</t>
  </si>
  <si>
    <t>https://ras.nacid.bg/dissertation-preview/29880</t>
  </si>
  <si>
    <t xml:space="preserve">4.1. Физически науки Специалност: Сеизмология и вътрешен строеж на Земята </t>
  </si>
  <si>
    <t xml:space="preserve">05.09.2005 </t>
  </si>
  <si>
    <t>Доцент - Софийски университет "Св. Климент Охридски", 15.01.2015</t>
  </si>
  <si>
    <t>доц. д-р Веселин Тончев</t>
  </si>
  <si>
    <t>https://ras.nacid.bg/dissertation-preview/23391</t>
  </si>
  <si>
    <t xml:space="preserve">4.2. Химически науки Специалност: Физикохимия </t>
  </si>
  <si>
    <t xml:space="preserve">27.08.2003 </t>
  </si>
  <si>
    <t>Доцент - Софийски университет "Св. Климент Охридски", 13.10.2017</t>
  </si>
  <si>
    <t>гл. ас. д-р Милен Цеков</t>
  </si>
  <si>
    <t>https://ras.nacid.bg/dissertation-preview/28965</t>
  </si>
  <si>
    <t xml:space="preserve">ОНС "доктор" Специалност: Теоретична и математическа физика (вкл. математични метои във физиката, класическа механика и теория на относителността; квантова механика; теория на полето и елементарните частици; термодинамика и статистическа физика) </t>
  </si>
  <si>
    <t xml:space="preserve">08.01.2007 </t>
  </si>
  <si>
    <t>Главен асистент - Софийски университет "Св. Климент Охридски", 15.01.2009</t>
  </si>
  <si>
    <t>гл. ас. д-р Венцислав Данчовски</t>
  </si>
  <si>
    <t>https://ras.nacid.bg/dissertation-preview/39762</t>
  </si>
  <si>
    <t xml:space="preserve">Метеорология и геофизика </t>
  </si>
  <si>
    <t xml:space="preserve">10.12.2012 </t>
  </si>
  <si>
    <t>Главен асистент - Софийски университет "Св. Климент Охридски", 04.10.2013</t>
  </si>
  <si>
    <t>Асистент - Софийски университет "Св. Климент Охридски", 18.06.2012</t>
  </si>
  <si>
    <t>гл. ас. д-р Савка Петрова</t>
  </si>
  <si>
    <t>https://ras.nacid.bg/dissertation-preview/39761</t>
  </si>
  <si>
    <t>Главен асистент - Софийски университет "Св. Климент Охридски", 18.06.2013</t>
  </si>
  <si>
    <t>гл. ас. д-р Гергана Георгиева</t>
  </si>
  <si>
    <t>https://ras.nacid.bg/dissertation-preview/41494</t>
  </si>
  <si>
    <t xml:space="preserve">4.4. Науки за земята </t>
  </si>
  <si>
    <t xml:space="preserve">20.05.2014 </t>
  </si>
  <si>
    <t>Главен асистент - Софийски университет "Св. Климент Охридски", 28.07.2014</t>
  </si>
  <si>
    <t>Асистент - Софийски университет "Св. Климент Охридски", 26.09.2012</t>
  </si>
  <si>
    <t>физик д-р Люба Димова</t>
  </si>
  <si>
    <t>https://ras.nacid.bg/dissertation-preview/49309</t>
  </si>
  <si>
    <t xml:space="preserve">10.05.2019 </t>
  </si>
  <si>
    <t>доц. д-р Ивелина Коцева-Георгиева</t>
  </si>
  <si>
    <t>https://ras.nacid.bg/dissertation-preview/44555</t>
  </si>
  <si>
    <t xml:space="preserve">Методика на обучението по физика </t>
  </si>
  <si>
    <t xml:space="preserve">1.3. Педагогика на обучението по </t>
  </si>
  <si>
    <t xml:space="preserve">30.06.2016 </t>
  </si>
  <si>
    <t>Доцент - Софийски университет "Св. Климент Охридски", 26.01.2026</t>
  </si>
  <si>
    <t>Асистент - Софийски университет "Св. Климент Охридски", 17.11.2008 | Главен асистент - Софийски университет "Св. Климент Охридски", 21.10.2016</t>
  </si>
  <si>
    <t>доц. д-р Христина Андреева</t>
  </si>
  <si>
    <t>https://ras.nacid.bg/dissertation-preview/27621</t>
  </si>
  <si>
    <t xml:space="preserve">4.1. Физически науки Специалност: Физика на вълновите процеси (вкл. акустични трептения и вълни; оптика; нелинейни трептения и вълни - нелинейна оптика и квантова електроника; оптоелектроника и лазерна техника) </t>
  </si>
  <si>
    <t xml:space="preserve">27.01.2003 </t>
  </si>
  <si>
    <t>Доцент - Българска академия на науките | Доцент - Софийски университет "Св. Климент Охридски"</t>
  </si>
  <si>
    <t>Главен асистент - Българска академия на науките | Главен асистент - Софийски университет "Св. Климент Охридски"</t>
  </si>
  <si>
    <t>Доцент - Българска академия на науките, 21.10.2016 | Доцент - Софийски университет "Св. Климент Охридски", 12.10.2022</t>
  </si>
  <si>
    <t>Главен асистент - Българска академия на науките, 08.01.2015 | Главен асистент - Софийски университет "Св. Климент Охридски", 16.10.2018</t>
  </si>
  <si>
    <t>гл. ас. д-р Весела Димова</t>
  </si>
  <si>
    <t>https://ras.nacid.bg/dissertation-preview/26967</t>
  </si>
  <si>
    <t xml:space="preserve">1.3. Педагогика на обучението по Специалност: Методика на обучението (по отрасли и видове науки) </t>
  </si>
  <si>
    <t xml:space="preserve">10.02.2003 </t>
  </si>
  <si>
    <t>Главен асистент - Софийски университет "Св. Климент Охридски", 03.10.2005</t>
  </si>
  <si>
    <t>Асистент - Софийски университет "Св. Климент Охридски", 13.12.2000</t>
  </si>
  <si>
    <t>гл.ас. д-р Лъчезар Симеонов</t>
  </si>
  <si>
    <t>https://ras.nacid.bg/dissertation-preview/45784</t>
  </si>
  <si>
    <t xml:space="preserve">Теоретична физика </t>
  </si>
  <si>
    <t xml:space="preserve">20.12.2016 </t>
  </si>
  <si>
    <t>Главен асистент - Софийски университет "Св. Климент Охридски", 11.07.2019</t>
  </si>
  <si>
    <t>гл. ас. д-р Милена Стоянова</t>
  </si>
  <si>
    <t>https://ras.nacid.bg/dissertation-preview/68416</t>
  </si>
  <si>
    <t xml:space="preserve">25.03.2021 </t>
  </si>
  <si>
    <t>Главен асистент - Софийски университет "Св. Климент Охридски", 05.04.2024</t>
  </si>
  <si>
    <t>гл. ас. д-р Александър Куртенков</t>
  </si>
  <si>
    <t>https://ras.nacid.bg/dissertation-preview/46236</t>
  </si>
  <si>
    <t>Главен асистент - Софийски университет "Св. Климент Охридски" | Доцент - Българска академия на науките</t>
  </si>
  <si>
    <t>Асистент - Софийски университет "Св. Климент Охридски" | Главен асистент - Българска академия на науките</t>
  </si>
  <si>
    <t>Главен асистент - Софийски университет "Св. Климент Охридски", 18.09.2024 | Доцент - Българска академия на науките, 28.11.2024</t>
  </si>
  <si>
    <t>Главен асистент - Българска академия на науките, 07.11.2017 | Асистент - Софийски университет "Св. Климент Охридски", 28.09.2022</t>
  </si>
  <si>
    <t>гл. ас. д-р Фабиен Кунис</t>
  </si>
  <si>
    <t>https://ras.nacid.bg/dissertation-preview/73548</t>
  </si>
  <si>
    <t xml:space="preserve">25.10.2023 </t>
  </si>
  <si>
    <t>Главен асистент - Софийски университет "Св. Климент Охридски", 22.11.2024</t>
  </si>
  <si>
    <t>Асистент - Софийски университет "Св. Климент Охридски", 29.09.2023</t>
  </si>
  <si>
    <t>доц. д-р Христо Илиев</t>
  </si>
  <si>
    <t>https://ras.nacid.bg/dissertation-preview/39760</t>
  </si>
  <si>
    <t xml:space="preserve">квантова електроника </t>
  </si>
  <si>
    <t>Главен асистент - Софийски университет "Св. Климент Охридски", 27.11.2015</t>
  </si>
  <si>
    <t>проф. дфзн Виктор Иванов</t>
  </si>
  <si>
    <t>https://ras.nacid.bg/dissertation-preview/23230</t>
  </si>
  <si>
    <t xml:space="preserve"> Софийски университет "Св. Климент Охридски" </t>
  </si>
  <si>
    <t xml:space="preserve"> Физически факултет </t>
  </si>
  <si>
    <t xml:space="preserve"> Обща физика </t>
  </si>
  <si>
    <t xml:space="preserve"> 4.1. Физически науки </t>
  </si>
  <si>
    <t xml:space="preserve">14.07.1997 30.06.2017 </t>
  </si>
  <si>
    <t>Професор - Софийски университет "Св. Климент Охридски", 16.01.2019</t>
  </si>
  <si>
    <t>Доцент - ВАК, 09.01.2006</t>
  </si>
  <si>
    <t>доц. д-р Пламен Петков</t>
  </si>
  <si>
    <t>https://ras.nacid.bg/dissertation-preview/44059</t>
  </si>
  <si>
    <t xml:space="preserve">Факултет по химия и фармация </t>
  </si>
  <si>
    <t xml:space="preserve">Инженерна химия и фармацевтично инженерство </t>
  </si>
  <si>
    <t xml:space="preserve">4.2. Химически науки </t>
  </si>
  <si>
    <t xml:space="preserve">30.03.2016 </t>
  </si>
  <si>
    <t>Главен асистент - Софийски университет "Св. Климент Охридски", 31.03.2017</t>
  </si>
  <si>
    <t>доц. д-р Гергана Алексиева</t>
  </si>
  <si>
    <t>https://ras.nacid.bg/dissertation-preview/40063</t>
  </si>
  <si>
    <t xml:space="preserve">Физика на твърдото тяло и микроелектроника </t>
  </si>
  <si>
    <t xml:space="preserve">20.03.2013 </t>
  </si>
  <si>
    <t>Доцент - Софийски университет "Св. Климент Охридски" | Доцент - Българска академия на науките</t>
  </si>
  <si>
    <t>Доцент - Софийски университет "Св. Климент Охридски", 03.08.2022 | Доцент - Българска академия на науките, 28.02.2023</t>
  </si>
  <si>
    <t>Асистент - Софийски университет "Св. Климент Охридски", 23.06.2003 | Главен асистент - Софийски университет "Св. Климент Охридски", 01.08.2013</t>
  </si>
  <si>
    <t>гл. ас. д-р Гошо Гоев</t>
  </si>
  <si>
    <t>https://ras.nacid.bg/dissertation-preview/29256</t>
  </si>
  <si>
    <t xml:space="preserve">ОНС "доктор" Специалност: Електрични, магнитни и оптични свойства на кондензираната материя(вкл. електронни състояния и зонна структура на твърдите тела; електронен транспорт в кристали и неподредени системи; електронна структура и електрични свойства на повърхността и интерфейса; електронни свойства на нискоразмерни системи; физически основи на микроелектрониката; свръхпроводимост; магнитни свойства на кондензираните фази; резонансни явления в кондензирани фази (АМР, ЕПР, гамарезонанс и др.); оптични свойства и спектроскопия на кондензираните среди; взаимодействие на кондензираните среди с излъчване) </t>
  </si>
  <si>
    <t>Главен асистент - Софийски университет "Св. Климент Охридски", 01.04.2011</t>
  </si>
  <si>
    <t>Асистент - Софийски университет "Св. Климент Охридски", 09.05.1996</t>
  </si>
  <si>
    <t>гл. ас. д-р Димитър Лютов</t>
  </si>
  <si>
    <t>https://ras.nacid.bg/dissertation-preview/47986</t>
  </si>
  <si>
    <t>Главен асистент - Софийски университет "Св. Климент Охридски", 12.10.2018</t>
  </si>
  <si>
    <t>Асистент - Софийски университет "Св. Климент Охридски", 28.10.2016</t>
  </si>
  <si>
    <t>гл. ас. д-р Борислав Петков</t>
  </si>
  <si>
    <t>https://ras.nacid.bg/dissertation-preview/67371</t>
  </si>
  <si>
    <t xml:space="preserve">4.1. Физически науки Специалност: Радиофизика и физическа електроника (вкл. статистическа радиофизика; разпространение на електромагнитните вълни; физика на свръхвисоките честоти; криогенна електроника; мазери; свръхпроводникова електроника; емисионна електроника и електровакуумна техника; електромагнитна оптика) </t>
  </si>
  <si>
    <t xml:space="preserve">22.12.2008 </t>
  </si>
  <si>
    <t>Главен асистент - Софийски университет "Св. Климент Охридски", 06.12.2023</t>
  </si>
  <si>
    <t>гл. ас. д-р Светлана Христова</t>
  </si>
  <si>
    <t>https://ras.nacid.bg/dissertation-preview/60052</t>
  </si>
  <si>
    <t xml:space="preserve">11.07.2019 </t>
  </si>
  <si>
    <t>Асистент - Медицински университет - София | Главен асистент - Медицински университет - София</t>
  </si>
  <si>
    <t>Главен асистент - Софийски университет "Св. Климент Охридски", 02.10.2025</t>
  </si>
  <si>
    <t>Асистент - Медицински университет - София, 23.08.2019 | Главен асистент - Медицински университет - София, 29.09.2023</t>
  </si>
  <si>
    <t>доц. д-р Снежана Йорданова</t>
  </si>
  <si>
    <t>https://ras.nacid.bg/dissertation-preview/37219</t>
  </si>
  <si>
    <t xml:space="preserve">4.1. Физически науки Специалност: Физика на плазмата и газовия разряд (вкл. кинетична теория на газовете; процеси на пренасяне в неутрални и йонизирани газове и плазма; физични процеси в плазма и при газов разряд; термоядрен синтез) </t>
  </si>
  <si>
    <t xml:space="preserve">07.06.2010 </t>
  </si>
  <si>
    <t>Главен асистент - Софийски университет "Св. Климент Охридски", 01.04.2015</t>
  </si>
  <si>
    <t>проф. дфзн Асен Пашов</t>
  </si>
  <si>
    <t>https://ras.nacid.bg/dissertation-preview/3218</t>
  </si>
  <si>
    <t xml:space="preserve">ОНС "доктор" доктор на физическите науки </t>
  </si>
  <si>
    <t xml:space="preserve">4.1. Физически науки 4.1. Физически науки Специалност: Физика на атомите и молекулите (вкл. електронна структура на атомите и молекулите - обща теория; електронна обвивка на атомите и атомни спектри; електронни обвивки; симетрия; вибрационни и ротационни свойства на молекулите и молекулни спектри; междуатомни и междумолекулни взаимодействия; взаимодействия на атоми и молекули с електромагнитно поле и ядрени лъчения) </t>
  </si>
  <si>
    <t xml:space="preserve">15.05.2002 03.01.2011 </t>
  </si>
  <si>
    <t>Професор - Софийски университет "Св. Климент Охридски", 30.05.2012</t>
  </si>
  <si>
    <t>Доцент - ВАК, 19.02.2007</t>
  </si>
  <si>
    <t>проф. дфзн Станислав Балушев</t>
  </si>
  <si>
    <t>https://ras.nacid.bg/dissertation-preview/28336</t>
  </si>
  <si>
    <t xml:space="preserve"> Оптика и спектроскопия </t>
  </si>
  <si>
    <t xml:space="preserve">ОНС "доктор" НС "доктор на науките" </t>
  </si>
  <si>
    <t xml:space="preserve">4.1. Физически науки Специалност: Физика 4.1. Физически науки </t>
  </si>
  <si>
    <t xml:space="preserve">22.02.1999 30.06.2021 </t>
  </si>
  <si>
    <t>Доцент - ВАК | Доцент - Софийски университет "Св. Климент Охридски"</t>
  </si>
  <si>
    <t>Професор - Софийски университет "Св. Климент Охридски", 09.10.2023</t>
  </si>
  <si>
    <t>Доцент - ВАК, 11.05.2009 | Доцент - Софийски университет "Св. Климент Охридски", 09.06.2009</t>
  </si>
  <si>
    <t>проф. дмн Христина Видинова</t>
  </si>
  <si>
    <t>https://ras.nacid.bg/dissertation-preview/23227</t>
  </si>
  <si>
    <t xml:space="preserve">7.1. Медицина 7.1. Медицина </t>
  </si>
  <si>
    <t xml:space="preserve">23.02.2004 01.11.2021 </t>
  </si>
  <si>
    <t>Професор - Военномедицинска академия | Професор - Софийски университет "Св. Климент Охридски"</t>
  </si>
  <si>
    <t>Главен асистент - Военномедицинска академия | Доцент - Военномедицинска академия | Доцент - Софийски университет "Св. Климент Охридски"</t>
  </si>
  <si>
    <t>Професор - Военномедицинска академия, 11.10.2023 | Професор - Софийски университет "Св. Климент Охридски", 06.02.2024</t>
  </si>
  <si>
    <t>Главен асистент - Военномедицинска академия, 30.12.2005 | Доцент - Софийски университет "Св. Климент Охридски", 28.02.2017 | Доцент - Военномедицинска академия, 31.08.2018</t>
  </si>
  <si>
    <t>доц д-р Христина Христова, дм</t>
  </si>
  <si>
    <t>https://ras.nacid.bg/dissertation-preview/29269</t>
  </si>
  <si>
    <t xml:space="preserve">ОНС "доктор" Специалност: Офталмология </t>
  </si>
  <si>
    <t xml:space="preserve">25.05.2004 </t>
  </si>
  <si>
    <t>Доцент - Софийски университет "Св. Климент Охридски", 05.02.2016</t>
  </si>
  <si>
    <t>доц. д-р Георги Георгиев</t>
  </si>
  <si>
    <t>https://ras.nacid.bg/dissertation-preview/26225</t>
  </si>
  <si>
    <t xml:space="preserve">ОНС "доктор" Специалност: Молекулярна биология </t>
  </si>
  <si>
    <t xml:space="preserve">10.07.2006 </t>
  </si>
  <si>
    <t>Доцент - Софийски университет "Св. Климент Охридски", 11.07.2012</t>
  </si>
  <si>
    <t>доц. д-р Елица Павлова</t>
  </si>
  <si>
    <t>https://ras.nacid.bg/dissertation-preview/28636</t>
  </si>
  <si>
    <t xml:space="preserve">4.3. Биологически науки Специалност: Физиология на животните и човека </t>
  </si>
  <si>
    <t xml:space="preserve">16.08.2007 </t>
  </si>
  <si>
    <t>Доцент - Софийски университет "Св. Климент Охридски", 07.04.2025</t>
  </si>
  <si>
    <t>Асистент - Софийски университет "Св. Климент Охридски", 18.10.2005 | Главен асистент - Софийски университет "Св. Климент Охридски", 01.04.2011</t>
  </si>
  <si>
    <t>гл. ас. д-р Лилия Владимирова-Михалева</t>
  </si>
  <si>
    <t>https://ras.nacid.bg/dissertation-preview/37129</t>
  </si>
  <si>
    <t xml:space="preserve">ОНС "доктор" Специалност: Биофизика </t>
  </si>
  <si>
    <t xml:space="preserve">05.07.2010 </t>
  </si>
  <si>
    <t>Главен асистент - Софийски университет "Св. Климент Охридски", 19.11.2015</t>
  </si>
  <si>
    <t>Асистент - Софийски университет "Св. Климент Охридски", 16.04.2007</t>
  </si>
  <si>
    <t>гл. ас. д-р Ивайла Божинова</t>
  </si>
  <si>
    <t>https://ras.nacid.bg/dissertation-preview/46231</t>
  </si>
  <si>
    <t xml:space="preserve">Оптика и спектроскопия </t>
  </si>
  <si>
    <t xml:space="preserve">15.06.2017 </t>
  </si>
  <si>
    <t>Главен асистент - Софийски университет "Св. Климент Охридски", 09.10.2019</t>
  </si>
  <si>
    <t>гл. ас. д-р Росица Лолова</t>
  </si>
  <si>
    <t>https://ras.nacid.bg/dissertation-preview/42444</t>
  </si>
  <si>
    <t xml:space="preserve">Медицински университет - София </t>
  </si>
  <si>
    <t xml:space="preserve">Медицински факултет </t>
  </si>
  <si>
    <t xml:space="preserve">офталмология </t>
  </si>
  <si>
    <t xml:space="preserve">7.1. Медицина </t>
  </si>
  <si>
    <t xml:space="preserve">09.12.2014 </t>
  </si>
  <si>
    <t>Главен асистент - Медицински университет - София</t>
  </si>
  <si>
    <t>Главен асистент - Софийски университет "Св. Климент Охридски", 30.03.2021</t>
  </si>
  <si>
    <t>Главен асистент - Медицински университет - София, 01.02.2005</t>
  </si>
  <si>
    <t>гл. ас. д-р Мила Тониева</t>
  </si>
  <si>
    <t>https://ras.nacid.bg/dissertation-preview/55411</t>
  </si>
  <si>
    <t xml:space="preserve">10.10.2022 </t>
  </si>
  <si>
    <t>Главен асистент - Софийски университет "Св. Климент Охридски", 27.03.2023</t>
  </si>
  <si>
    <t>Асистент - Софийски университет "Св. Климент Охридски", 17.03.2015</t>
  </si>
  <si>
    <t>ас. д-р Велизар Стоянов</t>
  </si>
  <si>
    <t>https://ras.nacid.bg/dissertation-preview/76550</t>
  </si>
  <si>
    <t xml:space="preserve">10.10.2024 </t>
  </si>
  <si>
    <t>Асистент - Софийски университет "Св. Климент Охридски", 04.02.2025</t>
  </si>
  <si>
    <t>ас. Гергана Михова</t>
  </si>
  <si>
    <t>https://ras.nacid.bg/dissertation-preview/70342</t>
  </si>
  <si>
    <t>Асистент - Софийски университет "Св. Климент Охридски", 28.09.2022</t>
  </si>
  <si>
    <t>ас. Ани Коева</t>
  </si>
  <si>
    <t>https://ras.nacid.bg/dissertation-preview/69723</t>
  </si>
  <si>
    <t>Асистент - Софийски университет "Св. Климент Охридски", 30.09.2022</t>
  </si>
  <si>
    <t>доц. д-р Стилиян Лишев</t>
  </si>
  <si>
    <t>https://ras.nacid.bg/dissertation-preview/29899</t>
  </si>
  <si>
    <t xml:space="preserve">26.05.2008 </t>
  </si>
  <si>
    <t>Доцент - Софийски университет "Св. Климент Охридски", 31.07.2015</t>
  </si>
  <si>
    <t>доц. д-р Живко Кисьовски</t>
  </si>
  <si>
    <t>https://ras.nacid.bg/dissertation-preview/23636</t>
  </si>
  <si>
    <t xml:space="preserve">18.04.1997 </t>
  </si>
  <si>
    <t>Доцент - ВАК | Главен асистент - Софийски университет "Св. Климент Охридски"</t>
  </si>
  <si>
    <t>Доцент - Софийски университет "Св. Климент Охридски", 02.08.2006</t>
  </si>
  <si>
    <t>Главен асистент - Софийски университет "Св. Климент Охридски", 01.07.2003 | Доцент - ВАК, 24.07.2006</t>
  </si>
  <si>
    <t>доц. д-р Емил Владков</t>
  </si>
  <si>
    <t>https://ras.nacid.bg/dissertation-preview/23832</t>
  </si>
  <si>
    <t xml:space="preserve">5.2. Електротехника, електроника и автоматика Специалност: Теория на електронните вериги и електронна схемотехника </t>
  </si>
  <si>
    <t xml:space="preserve">19.03.2001 </t>
  </si>
  <si>
    <t>Доцент - Софийски университет "Св. Климент Охридски", 05.06.2006</t>
  </si>
  <si>
    <t>Главен асистент - Софийски университет "Св. Климент Охридски", 02.10.2001 | Доцент - ВАК, 29.05.2006</t>
  </si>
  <si>
    <t>доц. д-р Станимир Колев</t>
  </si>
  <si>
    <t>https://ras.nacid.bg/dissertation-preview/27472</t>
  </si>
  <si>
    <t xml:space="preserve">23.07.2007 </t>
  </si>
  <si>
    <t>Доцент - Софийски университет "Св. Климент Охридски", 02.07.2015</t>
  </si>
  <si>
    <t>Асистент - Софийски университет "Св. Климент Охридски", 02.11.2006</t>
  </si>
  <si>
    <t>доц. д-р Цветелина Паунска</t>
  </si>
  <si>
    <t>https://ras.nacid.bg/dissertation-preview/26250</t>
  </si>
  <si>
    <t>Доцент - Софийски университет "Св. Климент Охридски", 10.07.2017</t>
  </si>
  <si>
    <t>Асистент - Софийски университет "Св. Климент Охридски", 21.02.2006</t>
  </si>
  <si>
    <t>доц. д-р Христомир Йорданов</t>
  </si>
  <si>
    <t>https://ras.nacid.bg/dissertation-preview/46065</t>
  </si>
  <si>
    <t xml:space="preserve">Технически университет - София </t>
  </si>
  <si>
    <t xml:space="preserve">5.3. Комуникационна и компютърна техника </t>
  </si>
  <si>
    <t xml:space="preserve">14.06.2016 </t>
  </si>
  <si>
    <t>Главен асистент - Технически университет - София</t>
  </si>
  <si>
    <t>Доцент - Софийски университет "Св. Климент Охридски", 29.09.2022</t>
  </si>
  <si>
    <t>Главен асистент - Технически университет - София, 28.02.2017</t>
  </si>
  <si>
    <t>гл. ас. д-р Марио Илиев</t>
  </si>
  <si>
    <t>https://ras.nacid.bg/dissertation-preview/43571</t>
  </si>
  <si>
    <t xml:space="preserve">Радиофизика и електроника </t>
  </si>
  <si>
    <t xml:space="preserve">10.09.2015 </t>
  </si>
  <si>
    <t>Главен асистент - Софийски университет "Св. Климент Охридски", 20.01.2016</t>
  </si>
  <si>
    <t>Асистент - Софийски университет "Св. Климент Охридски", 03.11.1994</t>
  </si>
  <si>
    <t>гл. ас. д-р Васил Вачков</t>
  </si>
  <si>
    <t>https://ras.nacid.bg/dissertation-preview/44359</t>
  </si>
  <si>
    <t xml:space="preserve">22.12.2015 </t>
  </si>
  <si>
    <t>Асистент - Софийски университет "Св. Климент Охридски", 14.10.2015</t>
  </si>
  <si>
    <t>ас. Христо Гелов</t>
  </si>
  <si>
    <t>https://ras.nacid.bg/dissertation-preview/75968</t>
  </si>
  <si>
    <t>Асистент - Софийски университет "Св. Климент Охридски", 27.09.2024</t>
  </si>
  <si>
    <t>доц. д-р Калин Стайков</t>
  </si>
  <si>
    <t>https://ras.nacid.bg/dissertation-preview/45501</t>
  </si>
  <si>
    <t>Доцент - Софийски университет "Св. Климент Охридски", 12.10.2022</t>
  </si>
  <si>
    <t>Главен асистент - Софийски университет "Св. Климент Охридски", 15.06.2017</t>
  </si>
  <si>
    <t>акад. проф. дфзн Николай Витанов</t>
  </si>
  <si>
    <t>https://ras.nacid.bg/dissertation-preview/15962</t>
  </si>
  <si>
    <t xml:space="preserve">ОНС "доктор" Специалност: Теоретична и математическа физика (вкл. математични метои във физиката, класическа механика и теория на относителността; квантова механика; теория на полето и елементарните частици; термодинамика и статистическа физика) доктор на физическите науки </t>
  </si>
  <si>
    <t xml:space="preserve"> 4.1. Физически науки Специалност: Физика на атомите и молекулите (вкл. електронна структура на атомите и молекулите - обща теория; електронна обвивка на атомите и атомни спектри; електронни обвивки; симетрия; вибрационни и ротационни свойства на молекулите и молекулни спектри; междуатомни и междумолекулни взаимодействия; взаимодействия на атоми и молекули с електромагнитно поле и ядрени лъчения) </t>
  </si>
  <si>
    <t>Професор - Софийски университет "Св. Климент Охридски", 15.09.2010</t>
  </si>
  <si>
    <t>Доцент - ВАК, 30.07.2004 | Професор - ВАК, 09.08.2010</t>
  </si>
  <si>
    <t>чл. кор. проф. дфзн Стойчо Язаджиев</t>
  </si>
  <si>
    <t>https://ras.nacid.bg/dissertation-preview/23029</t>
  </si>
  <si>
    <t xml:space="preserve">4.1. Физически науки Специалност: Теоретична и математическа физика (вкл. математични метои във физиката, класическа механика и теория на относителността; квантова механика; теория на полето и елементарните частици; термодинамика и статистическа физика) 4.1. Физически науки Специалност: Теоретична и математическа физика (вкл. математични метои във физиката, класическа механика и теория на относителността; квантова механика; теория на полето и елементарните частици; термодинамика и статистическа физика) </t>
  </si>
  <si>
    <t xml:space="preserve">16.08.2007 16.08.2007 </t>
  </si>
  <si>
    <t>Професор - Българска академия на науките | Професор - Софийски университет "Св. Климент Охридски"</t>
  </si>
  <si>
    <t>Доцент - Софийски университет "Св. Климент Охридски" | Асистент - Софийски университет "Св. Климент Охридски" | Професор - ВАК | Доцент - ВАК</t>
  </si>
  <si>
    <t>Професор - Софийски университет "Св. Климент Охридски", 01.02.2017 | Професор - Българска академия на науките, 19.02.2018</t>
  </si>
  <si>
    <t>Асистент - Софийски университет "Св. Климент Охридски", 10.11.2000 | Доцент - ВАК, 16.08.2004 | Доцент - Софийски университет "Св. Климент Охридски", 17.08.2004 | Професор - ВАК, 02.02.2010</t>
  </si>
  <si>
    <t>проф. дфзн Радослав Рашков</t>
  </si>
  <si>
    <t>https://ras.nacid.bg/dissertation-preview/13438</t>
  </si>
  <si>
    <t xml:space="preserve">кандидат на науките Специалност: Теоретична и математическа физика (вкл. математични метои във физиката, класическа механика и теория на относителността; квантова механика; теория на полето и елементарните частици; термодинамика и статистическа физика) НС "доктор на науките" </t>
  </si>
  <si>
    <t xml:space="preserve"> 4.1. Физически науки Специалност: Теоретична и математическа физика (вкл. математични метои във физиката, класическа механика и теория на относителността; квантова механика; теория на полето и елементарните частици; термодинамика и статистическа физика) </t>
  </si>
  <si>
    <t xml:space="preserve">07.11.1991 08.12.2008 </t>
  </si>
  <si>
    <t>Професор - ВАК | Доцент - ВАК | Асистент - Софийски университет "Св. Климент Охридски"</t>
  </si>
  <si>
    <t>Професор - Софийски университет "Св. Климент Охридски", 05.01.2011</t>
  </si>
  <si>
    <t>Асистент - Софийски университет "Св. Климент Охридски", 05.02.1992 | Доцент - ВАК, 19.06.2000 | Професор - ВАК, 03.01.2011</t>
  </si>
  <si>
    <t>доц. дфзн Петър Иванов</t>
  </si>
  <si>
    <t>https://ras.nacid.bg/dissertation-preview/28444</t>
  </si>
  <si>
    <t xml:space="preserve"> Теоретична физика </t>
  </si>
  <si>
    <t xml:space="preserve">4.1. Физически науки Специалност: Теоретична и математическа физика (вкл. математични метои във физиката, класическа механика и теория на относителността; квантова механика; теория на полето и елементарните частици; термодинамика и статистическа физика) 4.1. Физически науки </t>
  </si>
  <si>
    <t xml:space="preserve">27.04.2009 20.10.2022 </t>
  </si>
  <si>
    <t>Доцент - Софийски университет "Св. Климент Охридски", 03.06.2015</t>
  </si>
  <si>
    <t>Главен асистент - Софийски университет "Св. Климент Охридски", 20.06.2012</t>
  </si>
  <si>
    <t>доц. дфзн Андон Рангелов</t>
  </si>
  <si>
    <t>https://ras.nacid.bg/dissertation-preview/27789</t>
  </si>
  <si>
    <t xml:space="preserve">22.12.2008 10.06.2021 </t>
  </si>
  <si>
    <t>Доцент - Софийски университет "Св. Климент Охридски", 29.10.2015</t>
  </si>
  <si>
    <t>Асистент - Софийски университет "Св. Климент Охридски", 15.01.2009</t>
  </si>
  <si>
    <t>доц. д-р Цанко Иванов</t>
  </si>
  <si>
    <t>https://ras.nacid.bg/dissertation-preview/13467</t>
  </si>
  <si>
    <t xml:space="preserve">кандидат на науките </t>
  </si>
  <si>
    <t xml:space="preserve">05.01.1993 </t>
  </si>
  <si>
    <t>Главен асистент - Софийски университет "Св. Климент Охридски" | Доцент - ВАК</t>
  </si>
  <si>
    <t>Доцент - Софийски университет "Св. Климент Охридски", 03.11.2000</t>
  </si>
  <si>
    <t>Главен асистент - Софийски университет "Св. Климент Охридски", 30.10.1990 | Доцент - ВАК, 01.09.2000</t>
  </si>
  <si>
    <t>доц. д-р Димитър Младенов</t>
  </si>
  <si>
    <t>https://ras.nacid.bg/dissertation-preview/2815</t>
  </si>
  <si>
    <t xml:space="preserve">28.09.2006 </t>
  </si>
  <si>
    <t>Доцент - Софийски университет "Св. Климент Охридски", 04.04.2017</t>
  </si>
  <si>
    <t>доц. д-р Христо Димов</t>
  </si>
  <si>
    <t>https://ras.nacid.bg/dissertation-preview/26054</t>
  </si>
  <si>
    <t>Доцент - Софийски университет "Св. Климент Охридски", 04.10.2011</t>
  </si>
  <si>
    <t>доц. д-р Петя Недкова</t>
  </si>
  <si>
    <t>https://ras.nacid.bg/dissertation-preview/39155</t>
  </si>
  <si>
    <t xml:space="preserve">4.1. Физически науки Специалност: Теоретична и математическа физика (вкл. математични метои във физиката, класическа механика и теория на относителността; квантова механика; теория на полето и елементарните частици; термодинамика и статистическа физика) </t>
  </si>
  <si>
    <t xml:space="preserve">15.06.2012 </t>
  </si>
  <si>
    <t>Главен асистент - Софийски университет "Св. Климент Охридски" | Асистент - Софийски университет "Св. Климент Охридски"</t>
  </si>
  <si>
    <t>Доцент - Софийски университет "Св. Климент Охридски", 31.01.2020</t>
  </si>
  <si>
    <t>Асистент - Софийски университет "Св. Климент Охридски", 09.11.2012 | Главен асистент - Софийски университет "Св. Климент Охридски", 06.02.2014</t>
  </si>
  <si>
    <t>доц. д-р Кирил Христов</t>
  </si>
  <si>
    <t>https://ras.nacid.bg/dissertation-preview/44638</t>
  </si>
  <si>
    <t xml:space="preserve">02.02.2016 </t>
  </si>
  <si>
    <t>Доцент - Софийски университет "Св. Климент Охридски", 16.11.2020</t>
  </si>
  <si>
    <t>Главен асистент - Българска академия на науките, 13.04.2018</t>
  </si>
  <si>
    <t>доц. д-р Галин Гюлчев</t>
  </si>
  <si>
    <t>https://ras.nacid.bg/dissertation-preview/37107</t>
  </si>
  <si>
    <t xml:space="preserve">16.08.2010 </t>
  </si>
  <si>
    <t>Доцент - Софийски университет "Св. Климент Охридски", 23.12.2020</t>
  </si>
  <si>
    <t>Асистент - Софийски университет "Св. Климент Охридски", 20.11.2008 | Главен асистент - Софийски университет "Св. Климент Охридски", 28.03.2011</t>
  </si>
  <si>
    <t>Активни ядра на далечни галактики: променливост и физически параметри</t>
  </si>
  <si>
    <t>Наблюдателни прояви на екстинкцията в дисковете на спиралните галактики</t>
  </si>
  <si>
    <t>Изследване на масивното звездно население в галактиката М 31 по фотометрични данни</t>
  </si>
  <si>
    <t>Изследване на звездни населения и екстинция в галактики от Местната група(STUDY OF STELLAR POPULATIONS AND EXTINCTIONIN LOCAL GROUP GALAXIES)</t>
  </si>
  <si>
    <t>Поляриметрични и фотометрични изследвания на блазари</t>
  </si>
  <si>
    <t>Свойства на Сийфърт 2 галактиките с и без наблюдавани поляризирани широки линии</t>
  </si>
  <si>
    <t>Изучаване на структурата на Галактични области на звездообразуване и на асоциирани с тях молекулярни облаци</t>
  </si>
  <si>
    <t>Камери със съпротивителни плоскости в експеримента HARP</t>
  </si>
  <si>
    <t xml:space="preserve">Експериментално изследване на ниско енергетични М1 колективни възбуждания в атомното ядроЕкспериментално изследване на ниско енергетични М1 колективни възбуждания в атомното ядроОНС доктор - ВАК </t>
  </si>
  <si>
    <t>Изследване на елементарни и транспортни процеси в разпадаща се газоразрядна плазма на метални пари</t>
  </si>
  <si>
    <t>Високо-спинови състояния в ядрата 108,110 Рd, получени като фрагменти на делене. Ефекти на смесване между основната и гама-ивицата</t>
  </si>
  <si>
    <t>Структура на високоспинови състояния в ядра с маса-190:заселване на изомери в реакции на фрагментация и времена на живот в магнитни ивици</t>
  </si>
  <si>
    <t>Разработване и изследване на характеристиките на камери със съпротивителна плоскост за детектора CMS</t>
  </si>
  <si>
    <t>Изследване на редки полулептонни разпада на К-мезони</t>
  </si>
  <si>
    <t>Изследване и оптимизиране на характеристиките на камери със съпротивителна плоскост за детектора CMS(Investigation and optimization of charakteristics of resistive plate chambers for CMS detectors)</t>
  </si>
  <si>
    <t>Измерване на 222Rn във въздушна и водна среда чрез абсорбция в поликарбонати</t>
  </si>
  <si>
    <t>Ядренофизични методи за изследване на миграцията на радиоактивни благородни газове</t>
  </si>
  <si>
    <t>Експериментално изследване на нисколежащите квадруполни възбуждания в ядрото 212Ро</t>
  </si>
  <si>
    <t>Изследване на раждането и свойствата на ета-мезона във взаимодействия с леки ядра при средни енергии</t>
  </si>
  <si>
    <t>Изследване на изчислителни схеми с повишена разделителна способност за неутронно-физични пресмятания на ВВЕР</t>
  </si>
  <si>
    <t>Изучаване на свойствата на силно-взаимодействащи частици в модела Намбу и Йона-Лазинио</t>
  </si>
  <si>
    <t>Управление на времевите параметри на лазерното лъчение чрез генерация от втора хармонична</t>
  </si>
  <si>
    <t>Контролирано генериране и самофокусиране на сингулярни снопове и характеризиране на свръхкъси импулси</t>
  </si>
  <si>
    <t>Изследване на оптични системи за формиране на качествени лазерни снопове</t>
  </si>
  <si>
    <t>Нелинейна еволюция на оптични вихрови диполи в пространството и характеризиране на свръхкъси лазерни импулси с наклонени фронтове</t>
  </si>
  <si>
    <t>Сингулярна и фемтосекундна фотоника</t>
  </si>
  <si>
    <t>Изучаване на някои локални атмосфери ефекти върху преноса на замърсители в различни мащаби</t>
  </si>
  <si>
    <t>Числено изследване на басейнови и синоптични колебания в Черно море</t>
  </si>
  <si>
    <t>Изменчивост на свободната повърхност в Черно море, на циркулацията и обмена със Средиземно море, оценени по спътникови и наземни данни</t>
  </si>
  <si>
    <t>Строеж на земната кора и горната мантия в югоизточна Европа по повърхностни вълни</t>
  </si>
  <si>
    <t>Групиране на стъпала върху вицинални кристални повърхности - теория и компютърно моделиране</t>
  </si>
  <si>
    <t>Приложение на методи на нелинейната динамика към задачи на времето и климата(нелинейна диагностика на времеви редове от метеорологични данни)</t>
  </si>
  <si>
    <t>Гропосферен озон в град и планина - сравнително изследване в Плана и София</t>
  </si>
  <si>
    <t>Връзка между интензитет на валежа и наелектризиране на облаците</t>
  </si>
  <si>
    <t>Анализ на дългопериодни вълнови форми от земетресения с цел изучаване на строежа на земната кора и горната мантия</t>
  </si>
  <si>
    <t>Изследване на цунамигенни зони в Източното Средиземноморие</t>
  </si>
  <si>
    <t>Понятието функция в интердисциплинарното обучение по физика и математика</t>
  </si>
  <si>
    <t>Кохерентна спектроскопия с пренастройваем диоден лазер</t>
  </si>
  <si>
    <t>Изграждане на методологични знания и умения по физика при изучаване на топлинните явления и процеси в училище</t>
  </si>
  <si>
    <t>Приложения на формализма на кохерентно и некохерентно атомно-фотонно взаимодействие - от квантова логика в йонни уловки до стационарна светлина във фотонно кристално влакно.</t>
  </si>
  <si>
    <t>Експериментално изследване на структурата на атомни ядра с 122 ≤ N ≤ 126</t>
  </si>
  <si>
    <t>Червените нови като продукт на звездни сливания</t>
  </si>
  <si>
    <t>Създаване и използване на информационни системи за екипно решаване на проблеми в обучението по физика</t>
  </si>
  <si>
    <t>Диодно напомпвани лазери, със синхронизация на плодовете излъчващи в спектралния диапазон между 1 и 2 MM</t>
  </si>
  <si>
    <t>Изследване на процесите на дифузия и подреждане на кислорода в съединения от типа YВа2Cu307-d чрез микро-Раманова спектроскопияХарактеризиране на материали чрез вибрационна спектроскопия</t>
  </si>
  <si>
    <t>Взаимодействия и двумерно налягане при монослоеве от заредени колоидни частици върху течна повърхност</t>
  </si>
  <si>
    <t>Акустични свойства и приложения на полимерни материали</t>
  </si>
  <si>
    <t>Процеси на намагнитване и пренамагнитване на Ni-Cu-Zn-Co ферити в променливи магнитни полета</t>
  </si>
  <si>
    <t>Елипсометрия на микро- и наноструктури</t>
  </si>
  <si>
    <t>Моделиране на процесите на пренамагнитване и влиянието им върху ефекта на Хол в тънки магнитни слоеве.</t>
  </si>
  <si>
    <t>„Електрически свойства и антираково действие на цитохром с, адсорбиран върху колоидни частици от монтморилонит”</t>
  </si>
  <si>
    <t>Спектроскопия на високочестотни разряди</t>
  </si>
  <si>
    <t>Лазерна спектроскопия на избрани електронни състояния на двуатомни молекули на алкални металиЕкспериментално изследване и моделиране на взаимодействия в двуатомни молекули</t>
  </si>
  <si>
    <t>Фазова модулация на оптични снопове. Тъмни пространствени солитониЕнергиен Транспорт в Оптически-създадени Плътно-заселени Органични Триплетни Ансамбли</t>
  </si>
  <si>
    <t>Електронно-микроскопски и имуно-хистохимични проучвания на витрео-ретинните взаимоотношения в норма и паталогични състоянияМакулна дегенерация, свързана с възрастта – прогностични фактори, ултраструктурни промени, диагностични и терапевтични решения</t>
  </si>
  <si>
    <t>Псевдоексфолиативна глаукома</t>
  </si>
  <si>
    <t>Взаимодействия на липидни монослоеве и тънки течни филми с хидрофилни полимери и техни конюгати</t>
  </si>
  <si>
    <t>Оценка на биомаркери на окислителен стрес</t>
  </si>
  <si>
    <t>Кинетика на адсорбция на феритин и албумин върху твърда повърхност</t>
  </si>
  <si>
    <t>Лазерна спектроскопия на NiH в газов разряд</t>
  </si>
  <si>
    <t>Клинично значение на инструменталните методи за диагностика и проследяване на страбизма</t>
  </si>
  <si>
    <t>Скрининг на зрение при деца в училищна възраст</t>
  </si>
  <si>
    <t>Свръхфина структура на избрани състояния в двуатомни молекули</t>
  </si>
  <si>
    <t>Структури във високочестотни разряди.</t>
  </si>
  <si>
    <t>Нискочестотна дрейфова неустойчивост в слабойонизирана плазма и въздействие с ВЧ полета</t>
  </si>
  <si>
    <t>Методи и средства за цифрова обработка на сигналите в измерителни системи</t>
  </si>
  <si>
    <t>Индуктивни разряди при ниско налягане</t>
  </si>
  <si>
    <t>Високочестотни разряди във водород</t>
  </si>
  <si>
    <t>Безжични и опроводени комуникации в и между интегрални схеми</t>
  </si>
  <si>
    <t>Полипропилен - въглеродни композити: получаване и физикомеханични свойства</t>
  </si>
  <si>
    <t>Плазмени излъчващи структури на 2.45 GHz</t>
  </si>
  <si>
    <t>Числено моделиране на структурата и свойствата на компактни обекти в астрофизиката</t>
  </si>
  <si>
    <t>Приближение на двете състояния в атомната физика Кодиране, обработка и измерване на квантова информация с атоми, молекули, йони и ансамбли</t>
  </si>
  <si>
    <t xml:space="preserve">Точни решения в дилатонната гравитацияТочни решения в дилатонната гравитацияОНС доктор - ВАК </t>
  </si>
  <si>
    <t>W2- и W3 - супергравитации связь с моделью Весса-Зумино-Новикова-ВиттенаВЪРХУ СЪОТВЕТСТВИЕТО МЕЖДУ СТРУННИ И КАЛИБРОВЪЧНИ ТЕОРИИ</t>
  </si>
  <si>
    <t>Обработка на квантова информация с атоми и йониКритични явления и квантова метрология със силно корелирани квантово-оптични системи</t>
  </si>
  <si>
    <t>Кохерентен контрол на квантови системи с импулсни полета.Квантово‐оптични аналогии</t>
  </si>
  <si>
    <t>Динамика на квазичастици в модели на силно корелирани електрони в теорията на високотемпературната свръхпроводимост</t>
  </si>
  <si>
    <t>Многочастични интегрируеми модели в калибровъчните теории и гравитацията</t>
  </si>
  <si>
    <t>Аспекти на съответствието между струни и калибровъчни теории в квазикласическо приближение</t>
  </si>
  <si>
    <t>Точни решения на уравненията на Айнщайн-Максуел описващи черни дупки в пространство-време с допълнително измерение и тяхната термодинамика</t>
  </si>
  <si>
    <t>Уроци от вакуумната структура на 4-мерната N=2 супергравитация</t>
  </si>
  <si>
    <t>Гравитационни лещи</t>
  </si>
  <si>
    <t>Argument</t>
  </si>
  <si>
    <r>
      <t xml:space="preserve">His phd advisor </t>
    </r>
    <r>
      <rPr>
        <sz val="11"/>
        <color rgb="FFFF0000"/>
        <rFont val="Calibri"/>
        <family val="2"/>
        <charset val="204"/>
        <scheme val="minor"/>
      </rPr>
      <t>Петко Любенов Недялков</t>
    </r>
    <r>
      <rPr>
        <sz val="11"/>
        <color theme="1"/>
        <rFont val="Calibri"/>
        <family val="2"/>
        <scheme val="minor"/>
      </rPr>
      <t xml:space="preserve"> was an associate professor at the faculty of physics since 01.03.2005. Evgeny defended in 2009 so it must be under Petko who was in Sofia University https://ras.nacid.bg/dissertation-preview/22992</t>
    </r>
  </si>
  <si>
    <t>Her phd advisor Петко Любенов Недялков was an associate professor at the faculty of physics since 01.03.2005. Antoniya defended in 2009 so it must be under Petko who was in Sofia University https://ras.nacid.bg/dissertation-preview/22992</t>
  </si>
  <si>
    <t>Защитил в чужбина</t>
  </si>
  <si>
    <t>Her phd advisor Леандър Борисов Литов was an associate professor at the faculty of physics since 10.02.1998. Borislav defended in 2008 so it must be under Lenden who was in Sofia University https://ras.nacid.bg/dissertation-preview/22992</t>
  </si>
  <si>
    <t>Her phd advisor Леандър Борисов Литов was an associate professor at the faculty of physics since 10.02.1998. Venelin defended in 2008 so it must be under Lenden who was in Sofia University https://ras.nacid.bg/dissertation-preview/22993</t>
  </si>
  <si>
    <t>Her phd advisor Леандър Борисов Литов was an associate professor at the faculty of physics since 10.02.1998. Peycho defended in 2009 so it must be under Lenden who was in Sofia University https://ras.nacid.bg/dissertation-preview/22994</t>
  </si>
  <si>
    <t>Българска академия на науките</t>
  </si>
  <si>
    <t>Институт за ядрени изследвания и ядрена енергетика - БАН</t>
  </si>
  <si>
    <t xml:space="preserve">доктор на физическите науки </t>
  </si>
  <si>
    <t xml:space="preserve">4.1. Физически науки Специалност: Физика на вълновите процеси </t>
  </si>
  <si>
    <t xml:space="preserve"> Национален институт по геофизика, геодезия и география - БАН</t>
  </si>
  <si>
    <t>доц. д-р Цветан Вецов</t>
  </si>
  <si>
    <t>https://ras.nacid.bg/dissertation-preview/43023</t>
  </si>
  <si>
    <t xml:space="preserve">СУ 2015-97 / 30.06.2015 </t>
  </si>
  <si>
    <t xml:space="preserve">30.06.2015 </t>
  </si>
  <si>
    <t xml:space="preserve">Струнен подход към калибровъчните теории Покажи повече информация </t>
  </si>
  <si>
    <t>Доцент - Софийски университет "Св. Климент Охридски", 25.01.2022</t>
  </si>
  <si>
    <t>гл. ас. д-р Генко Василев</t>
  </si>
  <si>
    <t>https://ras.nacid.bg/dissertation-preview/25906</t>
  </si>
  <si>
    <t xml:space="preserve">33132 / 27.04.2009, утвърдено с Протокол No/дата: 3-06 / 24.02.2009 </t>
  </si>
  <si>
    <t xml:space="preserve">Адиабатни и неадиабатни ефекти в нестационарната квантова динамика Покажи повече информация </t>
  </si>
  <si>
    <t>Асистент - Софийски университет "Св. Климент Охридски", 28.10.2009</t>
  </si>
  <si>
    <t>гл. ас. д-р Димо Арнаудов</t>
  </si>
  <si>
    <t>https://ras.nacid.bg/dissertation-preview/39239</t>
  </si>
  <si>
    <t xml:space="preserve">СУ 2012-98 / 15.07.2012 </t>
  </si>
  <si>
    <t xml:space="preserve">Пертурбативни и непертурбативни аспекти на дуалността между струни и калибровъчни теории Покажи повече информация </t>
  </si>
  <si>
    <t>Главен асистент - Софийски университет "Св. Климент Охридски", 06.02.2014</t>
  </si>
  <si>
    <t>Асистент - Софийски университет "Св. Климент Охридски", 30.10.2012</t>
  </si>
  <si>
    <t>гл.ас. д-р Мирослав Радомиров</t>
  </si>
  <si>
    <t>https://ras.nacid.bg/dissertation-preview/69259</t>
  </si>
  <si>
    <t xml:space="preserve">СУ 2021-127 / 20.09.2021 </t>
  </si>
  <si>
    <t xml:space="preserve">20.09.2021 </t>
  </si>
  <si>
    <t xml:space="preserve">Конструкция и свойства на холографски модели Покажи повече информация </t>
  </si>
  <si>
    <t>Главен асистент - Софийски университет "Св. Климент Охридски", 29.03.2022</t>
  </si>
  <si>
    <t>гл. ас. д-р Валентин Делийски</t>
  </si>
  <si>
    <t>https://ras.nacid.bg/dissertation-preview/71818</t>
  </si>
  <si>
    <t xml:space="preserve">СУ 2024-144 / 25.10.2024 </t>
  </si>
  <si>
    <t xml:space="preserve">25.10.2024 </t>
  </si>
  <si>
    <t xml:space="preserve">Оптични ефекти в изкривено пространство време: гравитационни лещи, сенки и поляризация на светлината Покажи повече информация </t>
  </si>
  <si>
    <t>Главен асистент - Софийски университет "Св. Климент Охридски", 20.02.2025</t>
  </si>
  <si>
    <t>проф. дфзн Мирослав Абрашев</t>
  </si>
  <si>
    <t>https://ras.nacid.bg/dissertation-preview/15196</t>
  </si>
  <si>
    <t xml:space="preserve"> Физика на кондензираната материя </t>
  </si>
  <si>
    <t xml:space="preserve"> 4.1. Физически науки Специалност: Електрични, магнитни и оптични свойства на кондензираната материя(вкл. електронни състояния и зонна структура на твърдите тела; електронен транспорт в кристали и неподредени системи; електронна структура и електрични свойства на повърхността и интерфейса; електронни свойства на нискоразмерни системи; физически основи на микроелектрониката; свръхпроводимост; магнитни свойства на кондензираните фази; резонансни явления в кондензирани фази (АМР, ЕПР, гамарезонанс и др.); оптични свойства и спектроскопия на кондензираните среди; взаимодействие на кондензираните среди с излъчване) </t>
  </si>
  <si>
    <t xml:space="preserve">29025 / 29.07.1993, утвърдено с Протокол No/дата: 10-06 / 18.05.1993 СУ 2012-5 / 15.06.2012 </t>
  </si>
  <si>
    <t xml:space="preserve">29.07.1993 15.06.2012 </t>
  </si>
  <si>
    <t xml:space="preserve">Раманова спектроскопия на системите Покажи повече информация Раманова спектроскопия на оксиди с перовскитоподобна структура Покажи повече информация </t>
  </si>
  <si>
    <t>Професор - Софийски университет "Св. Климент Охридски", 23.01.2013</t>
  </si>
  <si>
    <t>Асистент - Софийски университет "Св. Климент Охридски", 24.09.1992 | Доцент - ВАК, 04.07.2003</t>
  </si>
  <si>
    <t>проф. дфзн Веселин Дончев</t>
  </si>
  <si>
    <t>https://ras.nacid.bg/dissertation-preview/31268</t>
  </si>
  <si>
    <t xml:space="preserve">кандидат на науките НС "доктор на науките" </t>
  </si>
  <si>
    <t xml:space="preserve">21345 / 03.09.1991, утвърдено с Протокол No/дата: 8-20 / 11.06.1991 СУ 2022-8 / 31.10.2022 </t>
  </si>
  <si>
    <t xml:space="preserve">03.09.1991 31.10.2022 </t>
  </si>
  <si>
    <t xml:space="preserve">ИЗСЛЕДВАНЕ НА ЕЛЕКТРИЧНИ И ОПТИЧНИ СВОЙСТВА НА ТОЧКОВИ ДЕФЕКТИ В ГАЛИЕВ АРСЕНИД Покажи повече информация Повърхностна фотоволтаична спектроскопия на полупроводникови оптоелектронни материали и наноструктури Покажи повече информация </t>
  </si>
  <si>
    <t>Главен асистент - Софийски университет "Св. Климент Охридски" | Доцент - ВАК | Доцент - Софийски университет "Св. Климент Охридски"</t>
  </si>
  <si>
    <t>Професор - Софийски университет "Св. Климент Охридски", 11.10.2023</t>
  </si>
  <si>
    <t>Главен асистент - Софийски университет "Св. Климент Охридски", 26.12.1994 | Доцент - ВАК, 16.07.2004 | Доцент - Софийски университет "Св. Климент Охридски", 11.10.2004</t>
  </si>
  <si>
    <t>доц. д-р Йонка Иванова</t>
  </si>
  <si>
    <t>https://ras.nacid.bg/dissertation-preview/16604</t>
  </si>
  <si>
    <t xml:space="preserve">5.6. Материали и материалознание Специалност: Методи за контролиране и изпитване на материали, изделия и апаратура (по отрасли) </t>
  </si>
  <si>
    <t xml:space="preserve">26580 / 03.04.2000, утвърдено с Протокол No/дата: 1-14 / 02.02.2000 </t>
  </si>
  <si>
    <t xml:space="preserve">03.04.2000 </t>
  </si>
  <si>
    <t xml:space="preserve">Комплексно безразрушително изследване на структурата на стомани Покажи повече информация </t>
  </si>
  <si>
    <t>Доцент - Софийски университет "Св. Климент Охридски", 07.01.2014 | Доцент - Българска академия на науките, 07.01.2014</t>
  </si>
  <si>
    <t>доц. д-р Виктор Атанасов</t>
  </si>
  <si>
    <t>https://ras.nacid.bg/dissertation-preview/30968</t>
  </si>
  <si>
    <t xml:space="preserve">1320-ВАК / 07.12.2009, утвърдено с Протокол No/дата: 25 / 25.11.2009 Защитил в чужбина Държава: Франция Град в чужбина: Париж Чуждестранно учебно заведение: Université de Cergy-Pontoise </t>
  </si>
  <si>
    <t xml:space="preserve">07.12.2009 </t>
  </si>
  <si>
    <t xml:space="preserve">Effets de courbure en mécanique quantique: applications aux systems nanométriques &amp; Modèles de Fordy-Kulish de condensation de Bose-Einstein Покажи повече информация </t>
  </si>
  <si>
    <t>Доцент - Софийски университет "Св. Климент Охридски", 07.10.2013</t>
  </si>
  <si>
    <t>доц. д-р Гичка Цуцуманова</t>
  </si>
  <si>
    <t>https://ras.nacid.bg/dissertation-preview/28793</t>
  </si>
  <si>
    <t xml:space="preserve">4.1. Физически науки Специалност: Електрични, магнитни и оптични свойства на кондензираната материя(вкл. електронни състояния и зонна структура на твърдите тела; електронен транспорт в кристали и неподредени системи; електронна структура и електрични свойства на повърхността и интерфейса; електронни свойства на нискоразмерни системи; физически основи на микроелектрониката; свръхпроводимост; магнитни свойства на кондензираните фази; резонансни явления в кондензирани фази (АМР, ЕПР, гамарезонанс и др.); оптични свойства и спектроскопия на кондензираните среди; взаимодействие на кондензираните среди с излъчване) </t>
  </si>
  <si>
    <t xml:space="preserve">33408 / 20.07.2009, утвърдено с Протокол No/дата: 8-06 / 19.05.2009 </t>
  </si>
  <si>
    <t xml:space="preserve">20.07.2009 </t>
  </si>
  <si>
    <t xml:space="preserve">Полиномиални решения на обратната задача в елипсометрията и някои техни приложения Покажи повече информация </t>
  </si>
  <si>
    <t>Доцент - Софийски университет "Св. Климент Охридски", 28.03.2017</t>
  </si>
  <si>
    <t>доц. д-р Катерина Стоичкова</t>
  </si>
  <si>
    <t>https://ras.nacid.bg/dissertation-preview/30422</t>
  </si>
  <si>
    <t xml:space="preserve">4.1. Физически науки Специалност: Биофизика </t>
  </si>
  <si>
    <t xml:space="preserve">31600 / 23.07.2007, утвърдено с Протокол No/дата: 8-06 / 08.05.2007 </t>
  </si>
  <si>
    <t xml:space="preserve">Флуоресцентна и раманова спектроскопия на тилакоидни мембрани Покажи повече информация </t>
  </si>
  <si>
    <t>Доцент - Софийски университет "Св. Климент Охридски", 16.05.2014</t>
  </si>
  <si>
    <t>доц. д-р Петър Георгиев</t>
  </si>
  <si>
    <t>https://ras.nacid.bg/dissertation-preview/45348</t>
  </si>
  <si>
    <t xml:space="preserve">У 2017 - 4 / 06.06.2017 Защитил в чужбина Държава: Англия Град в чужбина: Манчестър; Университет Салфорд </t>
  </si>
  <si>
    <t xml:space="preserve">Микрогравиметрични и неутронографски изследвания на механизмите на съхранение на водород в интерметални съединения от типа LaNi5 и едностенни въглеродни нанотръби Покажи повече информация </t>
  </si>
  <si>
    <t>Доцент - Софийски университет "Св. Климент Охридски", 20.01.2017</t>
  </si>
  <si>
    <t>доц. д-р Светослав Иванов</t>
  </si>
  <si>
    <t>https://ras.nacid.bg/dissertation-preview/37448</t>
  </si>
  <si>
    <t xml:space="preserve">4.1. Физически науки Специалност: Физика на атомите и молекулите (вкл. електронна структура на атомите и молекулите - обща теория; електронна обвивка на атомите и атомни спектри; електронни обвивки; симетрия; вибрационни и ротационни свойства на молекулите и молекулни спектри; междуатомни и междумолекулни взаимодействия; взаимодействия на атоми и молекули с електромагнитно поле и ядрени лъчения) </t>
  </si>
  <si>
    <t xml:space="preserve">34719 / 03.01.2011, утвърдено с Протокол No/дата: 14 / 02.11.2010 </t>
  </si>
  <si>
    <t xml:space="preserve">03.01.2011 </t>
  </si>
  <si>
    <t xml:space="preserve">Квантов контрол и обработка на информация чрез атоми и йони Покажи повече информация </t>
  </si>
  <si>
    <t>Доцент - Софийски университет "Св. Климент Охридски", 06.10.2017</t>
  </si>
  <si>
    <t>доц. д-р Кирил Кирилов</t>
  </si>
  <si>
    <t>https://ras.nacid.bg/dissertation-preview/30496</t>
  </si>
  <si>
    <t xml:space="preserve">32572 / 04.08.2008, утвърдено с Протокол No/дата: 6-06 / 03.06.2008 </t>
  </si>
  <si>
    <t xml:space="preserve">04.08.2008 </t>
  </si>
  <si>
    <t xml:space="preserve">Характеризиране на полупроводникови обемни и нано-структурни материали с повърхностна фотоволтаична спектроскопия Покажи повече информация </t>
  </si>
  <si>
    <t>Доцент - Софийски университет "Св. Климент Охридски", 15.04.2020</t>
  </si>
  <si>
    <t>доц. д-р Нено Тодоров</t>
  </si>
  <si>
    <t>https://ras.nacid.bg/dissertation-preview/41554</t>
  </si>
  <si>
    <t xml:space="preserve">СУ 2014-24 / 23.04.2014 </t>
  </si>
  <si>
    <t xml:space="preserve">23.04.2014 </t>
  </si>
  <si>
    <t xml:space="preserve">Фонони в оксиди със сложна кристална структура Покажи повече информация </t>
  </si>
  <si>
    <t>Доцент - Софийски университет "Св. Климент Охридски", 03.05.2022</t>
  </si>
  <si>
    <t>Асистент - Софийски университет "Св. Климент Охридски", 18.02.2013 | Главен асистент - Софийски университет "Св. Климент Охридски", 10.03.2015</t>
  </si>
  <si>
    <t>гл. ас. д-р Йордан Кърмаков</t>
  </si>
  <si>
    <t>https://ras.nacid.bg/dissertation-preview/28502</t>
  </si>
  <si>
    <t xml:space="preserve">28677 / 10.09.2003, утвърдено с Протокол No/дата: 9-06 / 30.06.2003 </t>
  </si>
  <si>
    <t xml:space="preserve">10.09.2003 </t>
  </si>
  <si>
    <t xml:space="preserve">Определяне на дълбочинни профили на модифицирани полупроводникови повърхности с елипсометрия Покажи повече информация </t>
  </si>
  <si>
    <t>Главен асистент - Софийски университет "Св. Климент Охридски", 21.07.2008</t>
  </si>
  <si>
    <t>гл. ас. д-р Димитър Цанков</t>
  </si>
  <si>
    <t>https://ras.nacid.bg/dissertation-preview/27917</t>
  </si>
  <si>
    <t xml:space="preserve">ОНС "доктор" Специалност: Физика на електричните и магнитните явления (вкл. електростатика; магнетостатика; класическа електродинамика) </t>
  </si>
  <si>
    <t xml:space="preserve">32781 / 05.01.2009, утвърдено с Протокол No/дата: 10-06 / 04.11.2008 </t>
  </si>
  <si>
    <t xml:space="preserve">05.01.2009 </t>
  </si>
  <si>
    <t xml:space="preserve">Магнитни свойства на манганити със смесена валентност. Покажи повече информация </t>
  </si>
  <si>
    <t>Асистент - Софийски университет "Св. Климент Охридски", 05.03.2007</t>
  </si>
  <si>
    <t>гл. ас. д-р Андреана Андреева</t>
  </si>
  <si>
    <t>https://ras.nacid.bg/dissertation-preview/27718</t>
  </si>
  <si>
    <t xml:space="preserve">32571 / 04.08.2008, утвърдено с Протокол No/дата: 6-06 / 03.06.2008 </t>
  </si>
  <si>
    <t xml:space="preserve">Компютърна визуализация на образи чрез акустична Фурие ехография Покажи повече информация </t>
  </si>
  <si>
    <t>Главен асистент - Софийски университет "Св. Климент Охридски", 08.10.2012</t>
  </si>
  <si>
    <t>гл. ас. д-р Николай Зографов</t>
  </si>
  <si>
    <t>https://ras.nacid.bg/dissertation-preview/45889</t>
  </si>
  <si>
    <t xml:space="preserve">Физика на твърдото тяло и микроелектрониката </t>
  </si>
  <si>
    <t xml:space="preserve">СУ 2017 - 18 / 28.02.2017 </t>
  </si>
  <si>
    <t xml:space="preserve">28.02.2017 </t>
  </si>
  <si>
    <t xml:space="preserve">Нов метод за електрично възбуждане на резонансни осцилации на висяща течна капка и възможни приложения за изследване на интерфейса течност-въздух Покажи повече информация </t>
  </si>
  <si>
    <t>Главен асистент - Софийски университет "Св. Климент Охридски", 11.10.2017</t>
  </si>
  <si>
    <t>Асистент - Софийски университет "Св. Климент Охридски", 04.03.2004</t>
  </si>
  <si>
    <t>гл. ас. д-р Роман Атанасов</t>
  </si>
  <si>
    <t>https://ras.nacid.bg/dissertation-preview/79166</t>
  </si>
  <si>
    <t>Главен асистент - Софийски университет "Св. Климент Охридски", 30.10.2025</t>
  </si>
  <si>
    <t>ас. Антон Петров</t>
  </si>
  <si>
    <t>https://ras.nacid.bg/dissertation-preview/74682</t>
  </si>
  <si>
    <t>Асистент - Софийски университет "Св. Климент Охридски", 07.03.2024</t>
  </si>
  <si>
    <t>ас. д-р Васил Щерев</t>
  </si>
  <si>
    <t>https://ras.nacid.bg/dissertation-preview/43055</t>
  </si>
  <si>
    <t xml:space="preserve">Факултет по телекомуникации Катедра: Катедра Комуникационни мрежи (КМ) </t>
  </si>
  <si>
    <t xml:space="preserve">ТУС-ФТК78-НС1-030 / 07.05.2015 </t>
  </si>
  <si>
    <t xml:space="preserve">07.05.2015 </t>
  </si>
  <si>
    <t xml:space="preserve">Адаптивни методи за гарантиране на оптимални параметри на телекомуникационни канали Покажи повече информация </t>
  </si>
  <si>
    <t>Асистент - Софийски университет "Св. Климент Охридски", 23.09.2025</t>
  </si>
  <si>
    <t>Главен асистент - Технически университет - София, 21.12.2015</t>
  </si>
  <si>
    <t>Доц. д-р Красимир Митев - YES</t>
  </si>
  <si>
    <t>Гл. ас. д-р Мартин Джонголов - YES</t>
  </si>
  <si>
    <t>доц. д-р Гергана Герова - YES</t>
  </si>
  <si>
    <t>проф. дфзн Асен Пашов - YES</t>
  </si>
  <si>
    <t>проф. дфзн Радослав Рашков - YES</t>
  </si>
  <si>
    <t>доц. д-р Кирил Христов - YES</t>
  </si>
  <si>
    <t>доц. д-р Виктор Атанасов - YES</t>
  </si>
  <si>
    <t>доц. д-р Петър Георгиев - YES</t>
  </si>
  <si>
    <t>гл. ас. д-р Роман Атанасов - YES</t>
  </si>
  <si>
    <t xml:space="preserve">Предложена от СУ "Св. Климент Охридски". Фак. Физика. Кат. Атомна физика - https://plus-legacy.cobiss.net/cobiss/bg/bg/bib/nacid/1253475812#full </t>
  </si>
  <si>
    <t xml:space="preserve">Фазова самомодулация и индуцирана фазова модулация в кубични нелинейни среди. Индуцирана фазова модулация и контрол на параметрите на лазерното лъчение </t>
  </si>
  <si>
    <t>https://astro.phys.uni-sofia.bg/petko-nedialkov/</t>
  </si>
  <si>
    <t>https://astro.phys.uni-sofia.bg/todor-veltchev/</t>
  </si>
  <si>
    <t>https://www.uni-sofia.bg/index.php/bul/content/download/173104/1214031/version/1/file/LalkovskiSt-recenzia-AntonovAnt.pdf says that his advisor is from Sofia University, hence the place where he defended</t>
  </si>
  <si>
    <t>This article identifies him as part of SU (Faculty of physics) in 1997, https://iopscience.iop.org/article/10.1088/0953-4075/30/5/026 hence he likely graduated there</t>
  </si>
  <si>
    <t>https://ras.nacid.bg/dissertation-preview/27581,</t>
  </si>
  <si>
    <t xml:space="preserve">https://link.springer.com/article/10.1140/epjc/s10052-007-0382-8 - SU here, https://www.sciencedirect.com/science/article/pii/S0168900203013421?getft_integrator=scopus&amp;pes=vor&amp;utm_source=scopus - CERN here. Most likely SU considering he started to work there in 2006, and NACID doesnt say he graduated abroad. </t>
  </si>
  <si>
    <t>this paper https://journals.aps.org/prc/abstract/10.1103/PhysRevC.68.054307 identifies him as affiliated with the faculty of physics in 2003, two years before he obtained his phd</t>
  </si>
  <si>
    <t>https://www.scopus.com/results/results.uri?sort=plf-f&amp;src=s&amp;st1=Dreischuh&amp;st2=Alexander&amp;nlo=1&amp;nlr=20&amp;nls=count-f&amp;sid=9cedd4a6549dfa467258c1e2314e59dc&amp;sot=anl&amp;sdt=aut&amp;sl=43&amp;s=AU-ID%28%22Dreischuh%2C+Alexander+A.%22+7003626585%29&amp;txGid=f58c5648fe4e2c1beca334d7f4db877b&amp;sessionSearchId=9cedd4a6549dfa467258c1e2314e59dc&amp;limit=10</t>
  </si>
  <si>
    <t>In this paper from 1991 (when he defended his PHD) https://www.spiedigitallibrary.org/conference-proceedings-of-spie/1403/1/Pico--and-femtosecond-pulses-in-the-UV-and-XUV/10.1117/12.57335.short It affiliates him with Sofia University</t>
  </si>
  <si>
    <t>It says here that he received his PHD from SU: https://buchvarov.phys.uni-sofia.bg/downloads/Buchvarov_Short_Biosketch-bg.pdf</t>
  </si>
  <si>
    <t>https://www.scopus.com/results/results.uri?sort=plf-t&amp;src=s&amp;st1=Buchvarov&amp;st2=Ivan&amp;nlo=1&amp;nlr=20&amp;nls=count-f&amp;sid=31c6a93c0a575467da077820e605e050&amp;sot=anl&amp;sdt=aut&amp;sl=37&amp;s=AU-ID%28%22Buchvarov%2C+I.+Ch%22+12755591400%29&amp;txGid=e877b5d252050a060f36367f185fdbfb&amp;sessionSearchId=31c6a93c0a575467da077820e605e050&amp;limit=10</t>
  </si>
  <si>
    <t>Scopus</t>
  </si>
  <si>
    <t xml:space="preserve">ОНС "доктор"  НС "доктор на науките" </t>
  </si>
  <si>
    <t>It confirms BAS on her LinkdIN profile https://www.linkedin.com/in/reneta-dimitrova-92083879/details/education/ and this paper also lists her as a graduate from there https://www.scopus.com/pages/publications/0037368101?origin=resultslist</t>
  </si>
  <si>
    <t xml:space="preserve">Департамент по Метереология и Геофизика </t>
  </si>
  <si>
    <t xml:space="preserve">Софийски Университет "Св. Климент Охридски" </t>
  </si>
  <si>
    <t>https://agupubs.onlinelibrary.wiley.com/doi/epdf/10.1029/1999JC900318?getft_integrator=scopus&amp;src=getftr&amp;utm_source=scopus</t>
  </si>
  <si>
    <t xml:space="preserve">https://www.sciencedirect.com/science/article/pii/S0926985103000855?pes=vor&amp;utm_source=scopus&amp;getft_integrator=scopus was published in 2003 (2 years before her PHD), she was listed as a PHD student at Faculty of physics. She also has another paper from that time with an insitutional affiliation abroad but she doesnt have a flag for a defence abroad. </t>
  </si>
  <si>
    <t>https://www.scopus.com/authid/detail.uri?authorId=6508045918</t>
  </si>
  <si>
    <t>It says here https://journals.aps.org/prl/abstract/10.1103/PhysRevLett.88.206103 that in 2002 his primary affiliation was Institute of Physical Chemistry, Bulgarian Academy of Sciences.</t>
  </si>
  <si>
    <t xml:space="preserve">Българска академия на науките </t>
  </si>
  <si>
    <t xml:space="preserve">It says here https://www.scopus.com/pages/publications/41549131761?origin=resultslist that he was affiliated with BAS in 2007 (the year when he obtained his PHD) </t>
  </si>
  <si>
    <t>https://www.scopus.com/authid/detail.uri?authorId=36892689300</t>
  </si>
  <si>
    <t>https://www.scopus.com/authid/detail.uri?authorId=6602669743</t>
  </si>
  <si>
    <t>Предложена от СУ Св. Климент Охридски. Физ. фак. Кат. Радиофизика и електроника
Защитена пред СНС по радиофизика, физическа и квантова електроника, 17.06.2008
Утвърдена от ВАК с прот. N 06-9/21.10.2008
Принт. изд
Библиогр. в края на текста - https://plus-legacy.cobiss.net/cobiss/bg/bg/bib/1230903780#full</t>
  </si>
  <si>
    <t>Електрически свойства и антираково действие на цитохром с, адсорбиран върху колоидни частици от монтморилонит</t>
  </si>
  <si>
    <t>Науч. ръководител Иванка Колева
Рец.: Александър Благоев, Димо Жечев
Библиогр.: 131-140
Предложена от СУ Св. Климент Охридски. Физ. фак. ; Защитена пред СНС по радиофизика, физ. и квантова електроника при ВАК, 10.11.2009
Утвърдена от ВАК с протокол No 06-5 / 06.04.2010</t>
  </si>
  <si>
    <t>Военно медицинска академия</t>
  </si>
  <si>
    <t>Confermed in this paper https://www.thieme-connect.com/products/ejournals/abstract/10.1055/s-2005-858433#A361kl05-1 published in 2005</t>
  </si>
  <si>
    <t xml:space="preserve">ВМИ - Плевен </t>
  </si>
  <si>
    <t>Confirmed here: http://nt-cmb.mu-sofia.bg/abweb/public/info</t>
  </si>
  <si>
    <t>Предложена от СУ "Св. Климент Охридски". Биологически фак. Кат. по биохимия
Защитена пред СНС по молекулярна биология, биофизика и биохимия, 10.04.2006
Утвърдена от ВАК с прот. N 03-8 от 25.04.2006
Принт. изд.
Библиогр. в края на текста - https://plus-legacy.cobiss.net/cobiss/bg/bg/bib/1241965796#full</t>
  </si>
  <si>
    <t>Предложена от СУ Св. Климент Охридски. Биол. фак.
Защитена пред СНС по физиология, патофизиология и фармакология, 25.01.2007
Утвърдена от ВАК с прот. N 03-11/05.06.2007
Принт. изд.
Библиогр. в края на текста - https://plus-legacy.cobiss.net/cobiss/bg/bg/bib/1242203620#full</t>
  </si>
  <si>
    <t>Науч. ръководител Върбан Савов
Рец.: Александър Г. Петров, Стоян Русев
Библиогр.: л. 104-112
Предложена от СУ Св. Климент Охридски. Физ. фак. Кат. Атомна физика ; Защитена пред СНС по физика на кондензираната материя при ВАК, 16.02.2010
Утвърдена от ВАК с протокол No 06-7 / 04.05.2010 - https://plus-legacy.cobiss.net/cobiss/bg/bg/bib/1252282340#full</t>
  </si>
  <si>
    <t xml:space="preserve">	Предложена от СУ Св. Климент Охридски. Физ. фак. Кат. Метеорология и геофизика
Защитена пред СНС по геофизика, 16.11.1999
Утвърдена от ВАК с прот. N 06-2 от 08.02.2000
Принт. изд.
Библиогр. в края на текста https://plus-legacy.cobiss.net/cobiss/bg/bg/bib/1241961700#full </t>
  </si>
  <si>
    <t>Предложена от СУ "Св. Климент Охридски" ; Защитена пред СНС по педагогика
Утвърдена от ВАК с протокол No 12-21 https://plus-legacy.cobiss.net/cobiss/bg/bg/bib/1261751012#full</t>
  </si>
  <si>
    <t xml:space="preserve">	Предложена от СУ Св. Климент Охридски. Физ. фак.
Защитена пред СНС по радиофизика, физична и квантова електроника, 04.03.2008
Утвърдена от ВАК с прот. N 06-3/25.03.2008
Принт. Изд https://plus-legacy.cobiss.net/cobiss/bg/bg/bib/1230692324#full</t>
  </si>
  <si>
    <t>https://www.scopus.com/authid/detail.uri?authorId=57202248261</t>
  </si>
  <si>
    <t xml:space="preserve">In this paper from 1994 https://iopscience.iop.org/article/10.1088/0741-3335/36/3/005 he is identified from Faculty of physics </t>
  </si>
  <si>
    <t>Предложен от СУ "Св. Климент Охридски" ; Защитен пред СНС по електронна и компютърна техника
Утвърден от ВАК с протокол No 5-1 https://ras.nacid.bg/dissertation-preview/23832</t>
  </si>
  <si>
    <t>Предложена от СУ Св. Климент Охридски. Физ. фак.
Защитена пред СНС по радиофизика, физична и квантова електроника, 17.04.2007
Утвърдена от ВАК с прот. N 06-8/08.05.2007
Принт. изд.
Библиогр. в края на текста -https://plus-legacy.cobiss.net/cobiss/bg/bg/bib/1242192100#full</t>
  </si>
  <si>
    <t>Предложена от СУ "Св. Климент Охридски" ; Защитена пред СНС по радиофизика, физична и квантова електроника
Утвърдена от ВАК с протокол Nо 06-9 - https://plus-legacy.cobiss.net/cobiss/bg/bg/bib/1264108004#full</t>
  </si>
  <si>
    <t>https://www.scopus.com/authid/detail.uri?authorId=7006042575</t>
  </si>
  <si>
    <t>Identified with an affiliation from the Faculty of Physcis here https://www.scopus.com/pages/publications/84956140022?origin=resultslist</t>
  </si>
  <si>
    <t>Предложена от СУ "Св. Климент Охридски" ; Защитена пред СНС по ядрена физика, ядрена енергетика и астрономия
Утвърдена от ВАК с протокол No 6-7 - https://plus-legacy.cobiss.net/cobiss/bg/bg/bib/1263764964#full</t>
  </si>
  <si>
    <t>Identified with an affiliation from the Faculty of Physcis here https://journals.aps.org/prb/abstract/10.1103/PhysRevB.48.4679 in 1993</t>
  </si>
  <si>
    <t>https://www.scopus.com/authid/detail.uri?authorId=7003354465&amp;origin=resultslist</t>
  </si>
  <si>
    <t xml:space="preserve">Not certain </t>
  </si>
  <si>
    <t>Not certain</t>
  </si>
  <si>
    <t>https://www.scopus.com/authid/detail.uri?authorId=8669986700&amp;origin=resultslist</t>
  </si>
  <si>
    <t>University of Chemical Technology and Metallurgy</t>
  </si>
  <si>
    <t>Two pubs confirm this https://iopscience.iop.org/article/10.1088/1126-6708/2006/02/064/pdf and https://www.sciencedirect.com/science/article/pii/S055032130800045X?pes=vor&amp;utm_source=scopus&amp;getft_integrator=scopus</t>
  </si>
  <si>
    <t xml:space="preserve"> Предложена от Sofia Univ. St. Kliment Ohridski. Fac. of Phys. Theoretical Phys. Div. Group of Quantum Optics and Quantum Inform. ; Защитена пред СНС по радиофизика, физична и квантова електроника при ВАК, 02.12.2008
Утвърдена от ВАК с протокол No 06-3 / 24.02.2009</t>
  </si>
  <si>
    <t xml:space="preserve"> Предложена от БАН ; Защитена пред СНС по машиностроителни технологии и машини
Утвърдена от ВАК с протокол No 14-1 https://plus-legacy.cobiss.net/cobiss/bg/bg/bib/1264272356#full</t>
  </si>
  <si>
    <t>https://www.scopus.com/authid/detail.uri?authorId=16053957000&amp;origin=resultslist</t>
  </si>
  <si>
    <t>confirmed by:  https://iopscience.iop.org/article/10.1088/0953-8984/20/28/285225 buplished in 2008</t>
  </si>
  <si>
    <t xml:space="preserve"> Предложена от СУ Св. Климент Охридски. Физ. фак. Кат. Физика на кондензираната материя
Защитена пред СНС по физика на кондензираната материя, 17.04.2007 https://plus-legacy.cobiss.net/cobiss/bg/bg/bib/1242207716#full</t>
  </si>
  <si>
    <t xml:space="preserve"> Предложен от Sofia Univ. St. Kliment Ohridski. Fac. of Physics. Theoretical Physics Div. Group of Quantum Optics and Quantum Inform. ; Защитен пред СНС по радиофизика, физ. и квантова електроника при ВАК, 25.05.2010
Утвърден от ВАК с протокол Nо 06-14 / 02.11.2010 https://plus-legacy.cobiss.net/cobiss/bg/bg/bib/1260492004#full</t>
  </si>
  <si>
    <t xml:space="preserve"> Предложена от СУ Св. Климент Охридски. Физ. фак. Кат. Физика на твърдото тяло и микроелектроника
Защитена пред СНС по физика на кондензираната материя, 22.04.2008
Утвърдена от ВАК с прот. N 06-6/03.06.2008
Принт. изд
Библиогр. в края на текста https://plus-legacy.cobiss.net/cobiss/bg/bg/bib/1230694116#full</t>
  </si>
  <si>
    <t xml:space="preserve"> Предложена от СУ "Св. Климент Охридски". Физ. фак. ; Защитена пред СНС по физика на кондензираната материя
Утвърдена от ВАК с протокол No 6-9 https://plus-legacy.cobiss.net/cobiss/bg/bg/bib/1262336228#full</t>
  </si>
  <si>
    <t xml:space="preserve"> Предложена от СУ Св. Климент Охридски. Физ. фак. Кат. Физика на кондензираната материя
Защитена пред СНС по физика на кондензираната материя, 15.07.2008 https://plus-legacy.cobiss.net/cobiss/bg/bg/bib/1230908644#full</t>
  </si>
  <si>
    <t>Предложена от СУ Св. Климент Охридски. Физ. фак. Кат. Физика на твърдото тяло
Защитена при СНС по радиофизика, физична и квантова електроника, 20.05.2008
Утвърдена от ВАК с прот. N 06-6/03.06.2008 https://plus-legacy.cobiss.net/cobiss/bg/bg/bib/1230812900#full</t>
  </si>
  <si>
    <t>Inbreeding_indicator</t>
  </si>
  <si>
    <t>Софийски университет "Св. Климент Охридски"</t>
  </si>
  <si>
    <t>Физически факултет</t>
  </si>
  <si>
    <t>Предложена от СУ Св. Климент Охридски. Физ. фак.
Защитена пред СНС по физика на кондензираната материя, 15.04.2008
Утвърдена от ВАК с прот. N 06-5/20.05.2008 - https://plus-legacy.cobiss.net/cobiss/bg/bg/bib/1230694884#full</t>
  </si>
  <si>
    <t xml:space="preserve">N/a </t>
  </si>
  <si>
    <t xml:space="preserve">https://arxiv.org/pdf/0806.3289 - confirms Sofia University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</si>
</sst>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name val="Calibri"/>
    </font>
    <font>
      <sz val="11"/>
      <color theme="1"/>
      <name val="Calibri"/>
      <family val="2"/>
      <scheme val="minor"/>
    </font>
    <font>
      <sz val="11"/>
      <color rgb="FFFF0000"/>
      <name val="Calibri"/>
      <family val="2"/>
      <charset val="204"/>
      <scheme val="minor"/>
    </font>
    <font>
      <u/>
      <sz val="11"/>
      <color theme="10"/>
      <name val="Calibri"/>
      <family val="2"/>
      <scheme val="minor"/>
    </font>
    <font>
      <b/>
      <sz val="11"/>
      <name val="Calibri"/>
      <family val="2"/>
      <charset val="204"/>
    </font>
    <font>
      <b/>
      <sz val="8"/>
      <color rgb="FF333333"/>
      <name val="Arial"/>
      <family val="2"/>
      <charset val="204"/>
    </font>
    <font>
      <sz val="8"/>
      <color rgb="FF333333"/>
      <name val="Arial"/>
      <family val="2"/>
      <charset val="204"/>
    </font>
    <font>
      <sz val="8"/>
      <color theme="1"/>
      <name val="Consolas"/>
      <family val="3"/>
      <charset val="204"/>
    </font>
    <font>
      <sz val="11"/>
      <color rgb="FF333333"/>
      <name val="Calibri"/>
      <family val="2"/>
      <charset val="204"/>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9" fontId="2" fillId="0" borderId="0" applyFont="0" applyFill="0" applyBorder="0" applyAlignment="0" applyProtection="0"/>
    <xf numFmtId="0" fontId="4" fillId="0" borderId="0" applyNumberFormat="0" applyFill="0" applyBorder="0" applyAlignment="0" applyProtection="0"/>
  </cellStyleXfs>
  <cellXfs count="34">
    <xf numFmtId="0" fontId="0" fillId="0" borderId="0" xfId="0"/>
    <xf numFmtId="0" fontId="0" fillId="0" borderId="0" xfId="0" applyAlignment="1">
      <alignment wrapText="1"/>
    </xf>
    <xf numFmtId="0" fontId="0" fillId="2" borderId="0" xfId="0" applyFill="1"/>
    <xf numFmtId="0" fontId="8" fillId="0" borderId="0" xfId="0" applyFont="1" applyFill="1" applyAlignment="1">
      <alignment horizontal="left" vertical="center"/>
    </xf>
    <xf numFmtId="0" fontId="0" fillId="0" borderId="0" xfId="0" applyFill="1"/>
    <xf numFmtId="9" fontId="0" fillId="0" borderId="0" xfId="1" applyFont="1" applyFill="1"/>
    <xf numFmtId="0" fontId="0" fillId="0" borderId="1" xfId="0" applyBorder="1" applyAlignment="1">
      <alignment wrapText="1"/>
    </xf>
    <xf numFmtId="0" fontId="4" fillId="0" borderId="1" xfId="2" applyBorder="1" applyAlignment="1">
      <alignment wrapText="1"/>
    </xf>
    <xf numFmtId="0" fontId="0" fillId="0" borderId="1" xfId="0" applyBorder="1"/>
    <xf numFmtId="0" fontId="0" fillId="2" borderId="1" xfId="0" applyFill="1" applyBorder="1" applyAlignment="1">
      <alignment wrapText="1"/>
    </xf>
    <xf numFmtId="0" fontId="4" fillId="2" borderId="1" xfId="2" applyFill="1" applyBorder="1" applyAlignment="1">
      <alignment wrapText="1"/>
    </xf>
    <xf numFmtId="0" fontId="0" fillId="2" borderId="1" xfId="0" applyFill="1" applyBorder="1"/>
    <xf numFmtId="0" fontId="3" fillId="0" borderId="1" xfId="0" applyFont="1" applyBorder="1" applyAlignment="1">
      <alignment wrapText="1"/>
    </xf>
    <xf numFmtId="0" fontId="7" fillId="0" borderId="1" xfId="0" applyFont="1" applyBorder="1" applyAlignment="1">
      <alignment wrapText="1"/>
    </xf>
    <xf numFmtId="14" fontId="0" fillId="0" borderId="1" xfId="0" applyNumberFormat="1" applyBorder="1"/>
    <xf numFmtId="14" fontId="0" fillId="2" borderId="1" xfId="0" applyNumberFormat="1" applyFill="1" applyBorder="1"/>
    <xf numFmtId="0" fontId="6" fillId="0" borderId="1" xfId="0" applyFont="1" applyBorder="1"/>
    <xf numFmtId="14" fontId="7" fillId="0" borderId="1" xfId="0" applyNumberFormat="1" applyFont="1" applyBorder="1"/>
    <xf numFmtId="0" fontId="0" fillId="3" borderId="1" xfId="0" applyFill="1" applyBorder="1" applyAlignment="1">
      <alignment wrapText="1"/>
    </xf>
    <xf numFmtId="0" fontId="4" fillId="3" borderId="1" xfId="2" applyFill="1" applyBorder="1" applyAlignment="1">
      <alignment wrapText="1"/>
    </xf>
    <xf numFmtId="0" fontId="0" fillId="3" borderId="1" xfId="0" applyFill="1" applyBorder="1"/>
    <xf numFmtId="0" fontId="0" fillId="0" borderId="1" xfId="0" applyFill="1" applyBorder="1" applyAlignment="1">
      <alignment wrapText="1"/>
    </xf>
    <xf numFmtId="0" fontId="0" fillId="0" borderId="1" xfId="0" applyFill="1" applyBorder="1"/>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164" fontId="0" fillId="0" borderId="0" xfId="1" applyNumberFormat="1" applyFont="1" applyAlignment="1">
      <alignment horizontal="center" vertical="center" wrapText="1"/>
    </xf>
    <xf numFmtId="0" fontId="0" fillId="0" borderId="0" xfId="0" applyAlignment="1">
      <alignment horizontal="center" vertical="center" wrapText="1"/>
    </xf>
    <xf numFmtId="14" fontId="9" fillId="0" borderId="0" xfId="0" applyNumberFormat="1" applyFont="1"/>
    <xf numFmtId="0" fontId="4" fillId="0" borderId="1" xfId="2" applyFill="1" applyBorder="1"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3" borderId="1" xfId="0" applyFill="1" applyBorder="1" applyAlignment="1">
      <alignment horizontal="center" vertical="center" wrapText="1"/>
    </xf>
    <xf numFmtId="14" fontId="0" fillId="3" borderId="1" xfId="0" applyNumberFormat="1" applyFill="1" applyBorder="1"/>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ras.nacid.bg/dissertation-preview/27621" TargetMode="External"/><Relationship Id="rId21" Type="http://schemas.openxmlformats.org/officeDocument/2006/relationships/hyperlink" Target="https://ras.nacid.bg/dissertation-preview/40438" TargetMode="External"/><Relationship Id="rId42" Type="http://schemas.openxmlformats.org/officeDocument/2006/relationships/hyperlink" Target="https://ras.nacid.bg/dissertation-preview/29269" TargetMode="External"/><Relationship Id="rId47" Type="http://schemas.openxmlformats.org/officeDocument/2006/relationships/hyperlink" Target="https://agupubs.onlinelibrary.wiley.com/doi/epdf/10.1029/1999JC900318?getft_integrator=scopus&amp;src=getftr&amp;utm_source=scopus" TargetMode="External"/><Relationship Id="rId63" Type="http://schemas.openxmlformats.org/officeDocument/2006/relationships/hyperlink" Target="https://ras.nacid.bg/dissertation-preview/28793" TargetMode="External"/><Relationship Id="rId68" Type="http://schemas.openxmlformats.org/officeDocument/2006/relationships/hyperlink" Target="https://ras.nacid.bg/dissertation-preview/27917" TargetMode="External"/><Relationship Id="rId2" Type="http://schemas.openxmlformats.org/officeDocument/2006/relationships/hyperlink" Target="https://ras.nacid.bg/dissertation-preview/25775" TargetMode="External"/><Relationship Id="rId16" Type="http://schemas.openxmlformats.org/officeDocument/2006/relationships/hyperlink" Target="https://ras.nacid.bg/dissertation-preview/23127" TargetMode="External"/><Relationship Id="rId29" Type="http://schemas.openxmlformats.org/officeDocument/2006/relationships/hyperlink" Target="https://ras.nacid.bg/dissertation-preview/28444" TargetMode="External"/><Relationship Id="rId11" Type="http://schemas.openxmlformats.org/officeDocument/2006/relationships/hyperlink" Target="https://ras.nacid.bg/dissertation-preview/27272" TargetMode="External"/><Relationship Id="rId24" Type="http://schemas.openxmlformats.org/officeDocument/2006/relationships/hyperlink" Target="https://ras.nacid.bg/dissertation-preview/23391" TargetMode="External"/><Relationship Id="rId32" Type="http://schemas.openxmlformats.org/officeDocument/2006/relationships/hyperlink" Target="https://ras.nacid.bg/dissertation-preview/79166" TargetMode="External"/><Relationship Id="rId37" Type="http://schemas.openxmlformats.org/officeDocument/2006/relationships/hyperlink" Target="https://ras.nacid.bg/dissertation-preview/44555" TargetMode="External"/><Relationship Id="rId40" Type="http://schemas.openxmlformats.org/officeDocument/2006/relationships/hyperlink" Target="https://ras.nacid.bg/dissertation-preview/37219" TargetMode="External"/><Relationship Id="rId45" Type="http://schemas.openxmlformats.org/officeDocument/2006/relationships/hyperlink" Target="https://ras.nacid.bg/dissertation-preview/37129" TargetMode="External"/><Relationship Id="rId53" Type="http://schemas.openxmlformats.org/officeDocument/2006/relationships/hyperlink" Target="https://ras.nacid.bg/dissertation-preview/26250" TargetMode="External"/><Relationship Id="rId58" Type="http://schemas.openxmlformats.org/officeDocument/2006/relationships/hyperlink" Target="https://ras.nacid.bg/dissertation-preview/2815" TargetMode="External"/><Relationship Id="rId66" Type="http://schemas.openxmlformats.org/officeDocument/2006/relationships/hyperlink" Target="https://ras.nacid.bg/dissertation-preview/30496" TargetMode="External"/><Relationship Id="rId74" Type="http://schemas.openxmlformats.org/officeDocument/2006/relationships/hyperlink" Target="https://ras.nacid.bg/dissertation-preview/69723" TargetMode="External"/><Relationship Id="rId5" Type="http://schemas.openxmlformats.org/officeDocument/2006/relationships/hyperlink" Target="https://ras.nacid.bg/dissertation-preview/27215" TargetMode="External"/><Relationship Id="rId61" Type="http://schemas.openxmlformats.org/officeDocument/2006/relationships/hyperlink" Target="https://ras.nacid.bg/dissertation-preview/25906" TargetMode="External"/><Relationship Id="rId19" Type="http://schemas.openxmlformats.org/officeDocument/2006/relationships/hyperlink" Target="https://ras.nacid.bg/dissertation-preview/3567" TargetMode="External"/><Relationship Id="rId14" Type="http://schemas.openxmlformats.org/officeDocument/2006/relationships/hyperlink" Target="https://ras.nacid.bg/dissertation-preview/42599" TargetMode="External"/><Relationship Id="rId22" Type="http://schemas.openxmlformats.org/officeDocument/2006/relationships/hyperlink" Target="https://ras.nacid.bg/dissertation-preview/29880" TargetMode="External"/><Relationship Id="rId27" Type="http://schemas.openxmlformats.org/officeDocument/2006/relationships/hyperlink" Target="https://ras.nacid.bg/dissertation-preview/26967" TargetMode="External"/><Relationship Id="rId30" Type="http://schemas.openxmlformats.org/officeDocument/2006/relationships/hyperlink" Target="https://ras.nacid.bg/dissertation-preview/13438" TargetMode="External"/><Relationship Id="rId35" Type="http://schemas.openxmlformats.org/officeDocument/2006/relationships/hyperlink" Target="https://astro.phys.uni-sofia.bg/petko-nedialkov/" TargetMode="External"/><Relationship Id="rId43" Type="http://schemas.openxmlformats.org/officeDocument/2006/relationships/hyperlink" Target="https://ras.nacid.bg/dissertation-preview/26225" TargetMode="External"/><Relationship Id="rId48" Type="http://schemas.openxmlformats.org/officeDocument/2006/relationships/hyperlink" Target="https://ras.nacid.bg/dissertation-preview/29899" TargetMode="External"/><Relationship Id="rId56" Type="http://schemas.openxmlformats.org/officeDocument/2006/relationships/hyperlink" Target="https://ras.nacid.bg/dissertation-preview/23029" TargetMode="External"/><Relationship Id="rId64" Type="http://schemas.openxmlformats.org/officeDocument/2006/relationships/hyperlink" Target="https://ras.nacid.bg/dissertation-preview/30422" TargetMode="External"/><Relationship Id="rId69" Type="http://schemas.openxmlformats.org/officeDocument/2006/relationships/hyperlink" Target="https://ras.nacid.bg/dissertation-preview/27718" TargetMode="External"/><Relationship Id="rId8" Type="http://schemas.openxmlformats.org/officeDocument/2006/relationships/hyperlink" Target="https://ras.nacid.bg/dissertation-preview/36894" TargetMode="External"/><Relationship Id="rId51" Type="http://schemas.openxmlformats.org/officeDocument/2006/relationships/hyperlink" Target="https://ras.nacid.bg/dissertation-preview/23832" TargetMode="External"/><Relationship Id="rId72" Type="http://schemas.openxmlformats.org/officeDocument/2006/relationships/hyperlink" Target="https://arxiv.org/pdf/0806.3289%20-%20confirms%20Sofia%20University" TargetMode="External"/><Relationship Id="rId3" Type="http://schemas.openxmlformats.org/officeDocument/2006/relationships/hyperlink" Target="https://ras.nacid.bg/dissertation-preview/25762" TargetMode="External"/><Relationship Id="rId12" Type="http://schemas.openxmlformats.org/officeDocument/2006/relationships/hyperlink" Target="https://ras.nacid.bg/dissertation-preview/25773" TargetMode="External"/><Relationship Id="rId17" Type="http://schemas.openxmlformats.org/officeDocument/2006/relationships/hyperlink" Target="https://ras.nacid.bg/dissertation-preview/15245" TargetMode="External"/><Relationship Id="rId25" Type="http://schemas.openxmlformats.org/officeDocument/2006/relationships/hyperlink" Target="https://ras.nacid.bg/dissertation-preview/41494" TargetMode="External"/><Relationship Id="rId33" Type="http://schemas.openxmlformats.org/officeDocument/2006/relationships/hyperlink" Target="https://www.uni-sofia.bg/index.php/bul/content/download/173104/1214031/version/1/file/LalkovskiSt-recenzia-AntonovAnt.pdf%20says%20that%20his%20advisor%20is%20from%20Sofia%20University,%20hence%20the%20place%20where%20he%20defended" TargetMode="External"/><Relationship Id="rId38" Type="http://schemas.openxmlformats.org/officeDocument/2006/relationships/hyperlink" Target="https://ras.nacid.bg/dissertation-preview/67371" TargetMode="External"/><Relationship Id="rId46" Type="http://schemas.openxmlformats.org/officeDocument/2006/relationships/hyperlink" Target="https://www.sciencedirect.com/science/article/pii/S0926985103000855?pes=vor&amp;utm_source=scopus&amp;getft_integrator=scopus%20was%20published%20in%202003%20(2%20years%20before%20her%20PHD),%20she%20was%20listed%20as%20a%20PHD%20student%20at%20Faculty%20of%20physics.%20She%20also%20has%20another%20paper%20from%20that%20time%20with%20an%20insitutional%20affiliation%20abroad%20but%20she%20doesnt%20have%20a%20flag%20for%20a%20defence%20abroad." TargetMode="External"/><Relationship Id="rId59" Type="http://schemas.openxmlformats.org/officeDocument/2006/relationships/hyperlink" Target="https://www.scopus.com/authid/detail.uri?authorId=7003354465&amp;origin=resultslist" TargetMode="External"/><Relationship Id="rId67" Type="http://schemas.openxmlformats.org/officeDocument/2006/relationships/hyperlink" Target="https://ras.nacid.bg/dissertation-preview/28502" TargetMode="External"/><Relationship Id="rId20" Type="http://schemas.openxmlformats.org/officeDocument/2006/relationships/hyperlink" Target="https://ras.nacid.bg/dissertation-preview/25569" TargetMode="External"/><Relationship Id="rId41" Type="http://schemas.openxmlformats.org/officeDocument/2006/relationships/hyperlink" Target="https://ras.nacid.bg/dissertation-preview/23227" TargetMode="External"/><Relationship Id="rId54" Type="http://schemas.openxmlformats.org/officeDocument/2006/relationships/hyperlink" Target="https://ras.nacid.bg/dissertation-preview/75968" TargetMode="External"/><Relationship Id="rId62" Type="http://schemas.openxmlformats.org/officeDocument/2006/relationships/hyperlink" Target="https://ras.nacid.bg/dissertation-preview/16604" TargetMode="External"/><Relationship Id="rId70" Type="http://schemas.openxmlformats.org/officeDocument/2006/relationships/hyperlink" Target="https://ras.nacid.bg/dissertation-preview/29256" TargetMode="External"/><Relationship Id="rId75" Type="http://schemas.openxmlformats.org/officeDocument/2006/relationships/printerSettings" Target="../printerSettings/printerSettings1.bin"/><Relationship Id="rId1" Type="http://schemas.openxmlformats.org/officeDocument/2006/relationships/hyperlink" Target="https://ras.nacid.bg/dissertation-preview/41613" TargetMode="External"/><Relationship Id="rId6" Type="http://schemas.openxmlformats.org/officeDocument/2006/relationships/hyperlink" Target="https://ras.nacid.bg/dissertation-preview/26249" TargetMode="External"/><Relationship Id="rId15" Type="http://schemas.openxmlformats.org/officeDocument/2006/relationships/hyperlink" Target="https://ras.nacid.bg/dissertation-preview/41142" TargetMode="External"/><Relationship Id="rId23" Type="http://schemas.openxmlformats.org/officeDocument/2006/relationships/hyperlink" Target="https://ras.nacid.bg/dissertation-preview/28965" TargetMode="External"/><Relationship Id="rId28" Type="http://schemas.openxmlformats.org/officeDocument/2006/relationships/hyperlink" Target="https://ras.nacid.bg/dissertation-preview/45784" TargetMode="External"/><Relationship Id="rId36" Type="http://schemas.openxmlformats.org/officeDocument/2006/relationships/hyperlink" Target="https://astro.phys.uni-sofia.bg/todor-veltchev/" TargetMode="External"/><Relationship Id="rId49" Type="http://schemas.openxmlformats.org/officeDocument/2006/relationships/hyperlink" Target="https://ras.nacid.bg/dissertation-preview/23636" TargetMode="External"/><Relationship Id="rId57" Type="http://schemas.openxmlformats.org/officeDocument/2006/relationships/hyperlink" Target="https://ras.nacid.bg/dissertation-preview/13467" TargetMode="External"/><Relationship Id="rId10" Type="http://schemas.openxmlformats.org/officeDocument/2006/relationships/hyperlink" Target="https://ras.nacid.bg/dissertation-preview/30909" TargetMode="External"/><Relationship Id="rId31" Type="http://schemas.openxmlformats.org/officeDocument/2006/relationships/hyperlink" Target="https://ras.nacid.bg/dissertation-preview/45348" TargetMode="External"/><Relationship Id="rId44" Type="http://schemas.openxmlformats.org/officeDocument/2006/relationships/hyperlink" Target="https://ras.nacid.bg/dissertation-preview/28636" TargetMode="External"/><Relationship Id="rId52" Type="http://schemas.openxmlformats.org/officeDocument/2006/relationships/hyperlink" Target="https://ras.nacid.bg/dissertation-preview/27472" TargetMode="External"/><Relationship Id="rId60" Type="http://schemas.openxmlformats.org/officeDocument/2006/relationships/hyperlink" Target="https://ras.nacid.bg/dissertation-preview/26054" TargetMode="External"/><Relationship Id="rId65" Type="http://schemas.openxmlformats.org/officeDocument/2006/relationships/hyperlink" Target="https://ras.nacid.bg/dissertation-preview/37448" TargetMode="External"/><Relationship Id="rId73" Type="http://schemas.openxmlformats.org/officeDocument/2006/relationships/hyperlink" Target="https://ras.nacid.bg/dissertation-preview/70342" TargetMode="External"/><Relationship Id="rId4" Type="http://schemas.openxmlformats.org/officeDocument/2006/relationships/hyperlink" Target="https://ras.nacid.bg/dissertation-preview/22992" TargetMode="External"/><Relationship Id="rId9" Type="http://schemas.openxmlformats.org/officeDocument/2006/relationships/hyperlink" Target="https://ras.nacid.bg/dissertation-preview/29890" TargetMode="External"/><Relationship Id="rId13" Type="http://schemas.openxmlformats.org/officeDocument/2006/relationships/hyperlink" Target="https://ras.nacid.bg/dissertation-preview/36963" TargetMode="External"/><Relationship Id="rId18" Type="http://schemas.openxmlformats.org/officeDocument/2006/relationships/hyperlink" Target="https://ras.nacid.bg/dissertation-preview/27406" TargetMode="External"/><Relationship Id="rId39" Type="http://schemas.openxmlformats.org/officeDocument/2006/relationships/hyperlink" Target="https://ras.nacid.bg/dissertation-preview/60052" TargetMode="External"/><Relationship Id="rId34" Type="http://schemas.openxmlformats.org/officeDocument/2006/relationships/hyperlink" Target="https://ras.nacid.bg/dissertation-preview/27581," TargetMode="External"/><Relationship Id="rId50" Type="http://schemas.openxmlformats.org/officeDocument/2006/relationships/hyperlink" Target="https://www.scopus.com/authid/detail.uri?authorId=57202248261" TargetMode="External"/><Relationship Id="rId55" Type="http://schemas.openxmlformats.org/officeDocument/2006/relationships/hyperlink" Target="https://ras.nacid.bg/dissertation-preview/15962" TargetMode="External"/><Relationship Id="rId7" Type="http://schemas.openxmlformats.org/officeDocument/2006/relationships/hyperlink" Target="https://ras.nacid.bg/dissertation-preview/2845" TargetMode="External"/><Relationship Id="rId71" Type="http://schemas.openxmlformats.org/officeDocument/2006/relationships/hyperlink" Target="https://ras.nacid.bg/dissertation-preview/371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4"/>
  <sheetViews>
    <sheetView topLeftCell="A12" zoomScale="43" zoomScaleNormal="43" workbookViewId="0">
      <selection activeCell="F1" sqref="F1"/>
    </sheetView>
  </sheetViews>
  <sheetFormatPr defaultRowHeight="14.4" x14ac:dyDescent="0.3"/>
  <cols>
    <col min="1" max="1" width="16.77734375" style="1" customWidth="1"/>
    <col min="2" max="3" width="27.33203125" style="1" customWidth="1"/>
    <col min="4" max="4" width="17.21875" style="1" customWidth="1"/>
    <col min="5" max="5" width="17.44140625" style="1" customWidth="1"/>
    <col min="6" max="6" width="10.77734375" style="27" customWidth="1"/>
    <col min="7" max="7" width="35.109375" style="1" customWidth="1"/>
    <col min="8" max="8" width="19.109375" style="1" customWidth="1"/>
    <col min="9" max="9" width="29" style="1" customWidth="1"/>
    <col min="10" max="10" width="23.88671875" style="1" customWidth="1"/>
    <col min="11" max="11" width="14.44140625" customWidth="1"/>
    <col min="12" max="12" width="27.6640625" style="1" customWidth="1"/>
    <col min="13" max="14" width="17.5546875" style="1" customWidth="1"/>
    <col min="15" max="15" width="22.44140625" style="1" customWidth="1"/>
    <col min="16" max="16" width="21.88671875" style="1" customWidth="1"/>
  </cols>
  <sheetData>
    <row r="1" spans="1:17" ht="44.4" customHeight="1" x14ac:dyDescent="0.3">
      <c r="A1" s="30" t="s">
        <v>0</v>
      </c>
      <c r="B1" s="30" t="s">
        <v>1</v>
      </c>
      <c r="C1" s="23" t="s">
        <v>761</v>
      </c>
      <c r="D1" s="30" t="s">
        <v>2</v>
      </c>
      <c r="E1" s="30" t="s">
        <v>3</v>
      </c>
      <c r="F1" s="23" t="s">
        <v>812</v>
      </c>
      <c r="G1" s="23" t="s">
        <v>589</v>
      </c>
      <c r="H1" s="30" t="s">
        <v>4</v>
      </c>
      <c r="I1" s="30" t="s">
        <v>5</v>
      </c>
      <c r="J1" s="30" t="s">
        <v>6</v>
      </c>
      <c r="K1" s="31" t="s">
        <v>7</v>
      </c>
      <c r="L1" s="30" t="s">
        <v>8</v>
      </c>
      <c r="M1" s="30" t="s">
        <v>9</v>
      </c>
      <c r="N1" s="30" t="s">
        <v>10</v>
      </c>
      <c r="O1" s="30" t="s">
        <v>11</v>
      </c>
      <c r="P1" s="30" t="s">
        <v>12</v>
      </c>
      <c r="Q1" s="31" t="s">
        <v>13</v>
      </c>
    </row>
    <row r="2" spans="1:17" ht="147.6" customHeight="1" x14ac:dyDescent="0.3">
      <c r="A2" s="6" t="s">
        <v>14</v>
      </c>
      <c r="B2" s="7" t="s">
        <v>15</v>
      </c>
      <c r="C2" s="7"/>
      <c r="D2" s="6" t="s">
        <v>38</v>
      </c>
      <c r="E2" s="6" t="s">
        <v>39</v>
      </c>
      <c r="F2" s="24">
        <f>IF(AND(
TRIM(CLEAN(SUBSTITUTE(D2,CHAR(10)," ")))="Софийски университет ""Св. Климент Охридски""",
TRIM(CLEAN(E2))="Физически Факултет"
),1,0)</f>
        <v>1</v>
      </c>
      <c r="G2" s="6" t="s">
        <v>590</v>
      </c>
      <c r="H2" s="6" t="s">
        <v>16</v>
      </c>
      <c r="I2" s="6" t="s">
        <v>17</v>
      </c>
      <c r="J2" s="6" t="s">
        <v>18</v>
      </c>
      <c r="K2" s="8" t="s">
        <v>19</v>
      </c>
      <c r="L2" s="6" t="s">
        <v>506</v>
      </c>
      <c r="M2" s="6" t="s">
        <v>20</v>
      </c>
      <c r="N2" s="6"/>
      <c r="O2" s="6" t="s">
        <v>21</v>
      </c>
      <c r="P2" s="6"/>
      <c r="Q2" s="8"/>
    </row>
    <row r="3" spans="1:17" s="2" customFormat="1" ht="86.4" x14ac:dyDescent="0.3">
      <c r="A3" s="9" t="s">
        <v>22</v>
      </c>
      <c r="B3" s="10" t="s">
        <v>23</v>
      </c>
      <c r="C3" s="10"/>
      <c r="D3" s="6" t="s">
        <v>38</v>
      </c>
      <c r="E3" s="6" t="s">
        <v>39</v>
      </c>
      <c r="F3" s="24">
        <f t="shared" ref="F3:F66" si="0">IF(AND(
TRIM(CLEAN(SUBSTITUTE(D3,CHAR(10)," ")))="Софийски университет ""Св. Климент Охридски""",
TRIM(CLEAN(E3))="Физически Факултет"
),1,0)</f>
        <v>1</v>
      </c>
      <c r="G3" s="10" t="s">
        <v>750</v>
      </c>
      <c r="H3" s="9" t="s">
        <v>16</v>
      </c>
      <c r="I3" s="9" t="s">
        <v>17</v>
      </c>
      <c r="J3" s="9" t="s">
        <v>18</v>
      </c>
      <c r="K3" s="11" t="s">
        <v>24</v>
      </c>
      <c r="L3" s="9" t="s">
        <v>507</v>
      </c>
      <c r="M3" s="9" t="s">
        <v>20</v>
      </c>
      <c r="N3" s="9" t="s">
        <v>25</v>
      </c>
      <c r="O3" s="9" t="s">
        <v>26</v>
      </c>
      <c r="P3" s="9" t="s">
        <v>27</v>
      </c>
      <c r="Q3" s="11"/>
    </row>
    <row r="4" spans="1:17" s="2" customFormat="1" ht="72" x14ac:dyDescent="0.3">
      <c r="A4" s="9" t="s">
        <v>28</v>
      </c>
      <c r="B4" s="10" t="s">
        <v>29</v>
      </c>
      <c r="C4" s="10"/>
      <c r="D4" s="6" t="s">
        <v>38</v>
      </c>
      <c r="E4" s="6" t="s">
        <v>39</v>
      </c>
      <c r="F4" s="24">
        <f t="shared" si="0"/>
        <v>1</v>
      </c>
      <c r="G4" s="10" t="s">
        <v>751</v>
      </c>
      <c r="H4" s="9" t="s">
        <v>16</v>
      </c>
      <c r="I4" s="9" t="s">
        <v>17</v>
      </c>
      <c r="J4" s="9" t="s">
        <v>18</v>
      </c>
      <c r="K4" s="11" t="s">
        <v>30</v>
      </c>
      <c r="L4" s="9" t="s">
        <v>508</v>
      </c>
      <c r="M4" s="9" t="s">
        <v>20</v>
      </c>
      <c r="N4" s="9"/>
      <c r="O4" s="9" t="s">
        <v>31</v>
      </c>
      <c r="P4" s="9"/>
      <c r="Q4" s="11"/>
    </row>
    <row r="5" spans="1:17" ht="144" x14ac:dyDescent="0.3">
      <c r="A5" s="6" t="s">
        <v>32</v>
      </c>
      <c r="B5" s="7" t="s">
        <v>33</v>
      </c>
      <c r="C5" s="7"/>
      <c r="D5" s="6" t="s">
        <v>38</v>
      </c>
      <c r="E5" s="6" t="s">
        <v>39</v>
      </c>
      <c r="F5" s="24">
        <f t="shared" si="0"/>
        <v>1</v>
      </c>
      <c r="G5" s="6" t="s">
        <v>591</v>
      </c>
      <c r="H5" s="6" t="s">
        <v>16</v>
      </c>
      <c r="I5" s="6" t="s">
        <v>17</v>
      </c>
      <c r="J5" s="6" t="s">
        <v>18</v>
      </c>
      <c r="K5" s="8" t="s">
        <v>34</v>
      </c>
      <c r="L5" s="6" t="s">
        <v>509</v>
      </c>
      <c r="M5" s="6" t="s">
        <v>20</v>
      </c>
      <c r="N5" s="6"/>
      <c r="O5" s="6" t="s">
        <v>35</v>
      </c>
      <c r="P5" s="6"/>
      <c r="Q5" s="8"/>
    </row>
    <row r="6" spans="1:17" ht="72" x14ac:dyDescent="0.3">
      <c r="A6" s="6" t="s">
        <v>36</v>
      </c>
      <c r="B6" s="7" t="s">
        <v>37</v>
      </c>
      <c r="C6" s="7"/>
      <c r="D6" s="6" t="s">
        <v>38</v>
      </c>
      <c r="E6" s="6" t="s">
        <v>39</v>
      </c>
      <c r="F6" s="24">
        <f t="shared" si="0"/>
        <v>1</v>
      </c>
      <c r="G6" s="6"/>
      <c r="H6" s="6" t="s">
        <v>40</v>
      </c>
      <c r="I6" s="6" t="s">
        <v>17</v>
      </c>
      <c r="J6" s="6" t="s">
        <v>41</v>
      </c>
      <c r="K6" s="8" t="s">
        <v>42</v>
      </c>
      <c r="L6" s="6" t="s">
        <v>510</v>
      </c>
      <c r="M6" s="6" t="s">
        <v>20</v>
      </c>
      <c r="N6" s="6" t="s">
        <v>43</v>
      </c>
      <c r="O6" s="6" t="s">
        <v>44</v>
      </c>
      <c r="P6" s="12" t="s">
        <v>45</v>
      </c>
      <c r="Q6" s="8"/>
    </row>
    <row r="7" spans="1:17" ht="72" x14ac:dyDescent="0.3">
      <c r="A7" s="6" t="s">
        <v>46</v>
      </c>
      <c r="B7" s="6" t="s">
        <v>47</v>
      </c>
      <c r="C7" s="6"/>
      <c r="D7" s="6" t="s">
        <v>38</v>
      </c>
      <c r="E7" s="6" t="s">
        <v>39</v>
      </c>
      <c r="F7" s="24">
        <f t="shared" si="0"/>
        <v>1</v>
      </c>
      <c r="G7" s="6"/>
      <c r="H7" s="6" t="s">
        <v>40</v>
      </c>
      <c r="I7" s="6" t="s">
        <v>17</v>
      </c>
      <c r="J7" s="6" t="s">
        <v>41</v>
      </c>
      <c r="K7" s="8" t="s">
        <v>48</v>
      </c>
      <c r="L7" s="6" t="s">
        <v>511</v>
      </c>
      <c r="M7" s="6" t="s">
        <v>43</v>
      </c>
      <c r="N7" s="6"/>
      <c r="O7" s="6" t="s">
        <v>49</v>
      </c>
      <c r="P7" s="6"/>
      <c r="Q7" s="8"/>
    </row>
    <row r="8" spans="1:17" ht="72" x14ac:dyDescent="0.3">
      <c r="A8" s="6" t="s">
        <v>50</v>
      </c>
      <c r="B8" s="6" t="s">
        <v>51</v>
      </c>
      <c r="C8" s="6"/>
      <c r="D8" s="6" t="s">
        <v>38</v>
      </c>
      <c r="E8" s="6" t="s">
        <v>39</v>
      </c>
      <c r="F8" s="24">
        <f t="shared" si="0"/>
        <v>1</v>
      </c>
      <c r="G8" s="6"/>
      <c r="H8" s="6" t="s">
        <v>40</v>
      </c>
      <c r="I8" s="6" t="s">
        <v>17</v>
      </c>
      <c r="J8" s="6" t="s">
        <v>41</v>
      </c>
      <c r="K8" s="8" t="s">
        <v>52</v>
      </c>
      <c r="L8" s="6" t="s">
        <v>512</v>
      </c>
      <c r="M8" s="6" t="s">
        <v>43</v>
      </c>
      <c r="N8" s="6"/>
      <c r="O8" s="6" t="s">
        <v>53</v>
      </c>
      <c r="P8" s="6"/>
      <c r="Q8" s="8"/>
    </row>
    <row r="9" spans="1:17" ht="244.8" x14ac:dyDescent="0.3">
      <c r="A9" s="6" t="s">
        <v>54</v>
      </c>
      <c r="B9" s="7" t="s">
        <v>754</v>
      </c>
      <c r="C9" s="7"/>
      <c r="D9" s="6" t="s">
        <v>38</v>
      </c>
      <c r="E9" s="6" t="s">
        <v>39</v>
      </c>
      <c r="F9" s="24">
        <f t="shared" si="0"/>
        <v>1</v>
      </c>
      <c r="G9" s="6" t="s">
        <v>755</v>
      </c>
      <c r="H9" s="6" t="s">
        <v>16</v>
      </c>
      <c r="I9" s="6" t="s">
        <v>17</v>
      </c>
      <c r="J9" s="6" t="s">
        <v>55</v>
      </c>
      <c r="K9" s="8" t="s">
        <v>56</v>
      </c>
      <c r="L9" s="6" t="s">
        <v>513</v>
      </c>
      <c r="M9" s="6" t="s">
        <v>20</v>
      </c>
      <c r="N9" s="6" t="s">
        <v>57</v>
      </c>
      <c r="O9" s="6" t="s">
        <v>58</v>
      </c>
      <c r="P9" s="6" t="s">
        <v>59</v>
      </c>
      <c r="Q9" s="8"/>
    </row>
    <row r="10" spans="1:17" ht="129.6" x14ac:dyDescent="0.3">
      <c r="A10" s="6" t="s">
        <v>60</v>
      </c>
      <c r="B10" s="6" t="s">
        <v>61</v>
      </c>
      <c r="C10" s="6"/>
      <c r="D10" s="6" t="s">
        <v>813</v>
      </c>
      <c r="E10" s="6" t="s">
        <v>814</v>
      </c>
      <c r="F10" s="24">
        <f>IF(AND(
TRIM(CLEAN(SUBSTITUTE(D10,CHAR(10)," ")))="Софийски университет ""Св. Климент Охридски""",
TRIM(CLEAN(E10))="Физически Факултет"
),1,0)</f>
        <v>1</v>
      </c>
      <c r="G10" s="6"/>
      <c r="H10" s="6" t="s">
        <v>62</v>
      </c>
      <c r="I10" s="6" t="s">
        <v>63</v>
      </c>
      <c r="J10" s="6" t="s">
        <v>64</v>
      </c>
      <c r="K10" s="8" t="s">
        <v>65</v>
      </c>
      <c r="L10" s="6" t="s">
        <v>514</v>
      </c>
      <c r="M10" s="6" t="s">
        <v>66</v>
      </c>
      <c r="N10" s="6" t="s">
        <v>67</v>
      </c>
      <c r="O10" s="6" t="s">
        <v>68</v>
      </c>
      <c r="P10" s="6" t="s">
        <v>69</v>
      </c>
      <c r="Q10" s="8"/>
    </row>
    <row r="11" spans="1:17" s="2" customFormat="1" ht="100.8" x14ac:dyDescent="0.3">
      <c r="A11" s="9" t="s">
        <v>70</v>
      </c>
      <c r="B11" s="10" t="s">
        <v>71</v>
      </c>
      <c r="C11" s="10"/>
      <c r="D11" s="6" t="s">
        <v>813</v>
      </c>
      <c r="E11" s="6" t="s">
        <v>814</v>
      </c>
      <c r="F11" s="24">
        <f>IF(AND(
TRIM(CLEAN(SUBSTITUTE(D11,CHAR(10)," ")))="Софийски университет ""Св. Климент Охридски""",
TRIM(CLEAN(E11))="Физически Факултет"
),1,0)</f>
        <v>1</v>
      </c>
      <c r="G11" s="9" t="s">
        <v>753</v>
      </c>
      <c r="H11" s="9" t="s">
        <v>16</v>
      </c>
      <c r="I11" s="9" t="s">
        <v>17</v>
      </c>
      <c r="J11" s="9" t="s">
        <v>16</v>
      </c>
      <c r="K11" s="11" t="s">
        <v>72</v>
      </c>
      <c r="L11" s="9" t="s">
        <v>515</v>
      </c>
      <c r="M11" s="9" t="s">
        <v>20</v>
      </c>
      <c r="N11" s="9" t="s">
        <v>67</v>
      </c>
      <c r="O11" s="9" t="s">
        <v>73</v>
      </c>
      <c r="P11" s="9" t="s">
        <v>74</v>
      </c>
      <c r="Q11" s="11"/>
    </row>
    <row r="12" spans="1:17" s="2" customFormat="1" ht="129" customHeight="1" x14ac:dyDescent="0.3">
      <c r="A12" s="9" t="s">
        <v>75</v>
      </c>
      <c r="B12" s="10" t="s">
        <v>76</v>
      </c>
      <c r="C12" s="10"/>
      <c r="D12" s="6" t="s">
        <v>813</v>
      </c>
      <c r="E12" s="6" t="s">
        <v>814</v>
      </c>
      <c r="F12" s="24">
        <f t="shared" si="0"/>
        <v>1</v>
      </c>
      <c r="G12" s="10" t="s">
        <v>752</v>
      </c>
      <c r="H12" s="9" t="s">
        <v>16</v>
      </c>
      <c r="I12" s="9" t="s">
        <v>17</v>
      </c>
      <c r="J12" s="9" t="s">
        <v>77</v>
      </c>
      <c r="K12" s="11" t="s">
        <v>78</v>
      </c>
      <c r="L12" s="9" t="s">
        <v>516</v>
      </c>
      <c r="M12" s="9" t="s">
        <v>20</v>
      </c>
      <c r="N12" s="9" t="s">
        <v>57</v>
      </c>
      <c r="O12" s="9" t="s">
        <v>79</v>
      </c>
      <c r="P12" s="9" t="s">
        <v>80</v>
      </c>
      <c r="Q12" s="11"/>
    </row>
    <row r="13" spans="1:17" ht="72" x14ac:dyDescent="0.3">
      <c r="A13" s="6" t="s">
        <v>81</v>
      </c>
      <c r="B13" s="7" t="s">
        <v>82</v>
      </c>
      <c r="C13" s="7"/>
      <c r="D13" s="6" t="s">
        <v>592</v>
      </c>
      <c r="E13" s="6"/>
      <c r="F13" s="24">
        <f t="shared" si="0"/>
        <v>0</v>
      </c>
      <c r="G13" s="6"/>
      <c r="H13" s="6"/>
      <c r="I13" s="6"/>
      <c r="J13" s="6"/>
      <c r="K13" s="28">
        <v>40310</v>
      </c>
      <c r="L13" s="6"/>
      <c r="M13" s="6" t="s">
        <v>20</v>
      </c>
      <c r="N13" s="6"/>
      <c r="O13" s="6" t="s">
        <v>83</v>
      </c>
      <c r="P13" s="6"/>
      <c r="Q13" s="8" t="s">
        <v>84</v>
      </c>
    </row>
    <row r="14" spans="1:17" s="2" customFormat="1" ht="151.80000000000001" customHeight="1" x14ac:dyDescent="0.3">
      <c r="A14" s="9" t="s">
        <v>85</v>
      </c>
      <c r="B14" s="10" t="s">
        <v>86</v>
      </c>
      <c r="C14" s="10"/>
      <c r="D14" s="6" t="s">
        <v>813</v>
      </c>
      <c r="E14" s="6" t="s">
        <v>814</v>
      </c>
      <c r="F14" s="24">
        <f t="shared" si="0"/>
        <v>1</v>
      </c>
      <c r="G14" s="9" t="s">
        <v>756</v>
      </c>
      <c r="H14" s="9" t="s">
        <v>16</v>
      </c>
      <c r="I14" s="9" t="s">
        <v>17</v>
      </c>
      <c r="J14" s="9" t="s">
        <v>77</v>
      </c>
      <c r="K14" s="11" t="s">
        <v>87</v>
      </c>
      <c r="L14" s="9" t="s">
        <v>517</v>
      </c>
      <c r="M14" s="9" t="s">
        <v>20</v>
      </c>
      <c r="N14" s="9"/>
      <c r="O14" s="9" t="s">
        <v>88</v>
      </c>
      <c r="P14" s="9"/>
      <c r="Q14" s="11"/>
    </row>
    <row r="15" spans="1:17" ht="237.6" customHeight="1" x14ac:dyDescent="0.3">
      <c r="A15" s="6" t="s">
        <v>89</v>
      </c>
      <c r="B15" s="7" t="s">
        <v>90</v>
      </c>
      <c r="C15" s="7"/>
      <c r="D15" s="6" t="s">
        <v>38</v>
      </c>
      <c r="E15" s="6" t="s">
        <v>39</v>
      </c>
      <c r="F15" s="24">
        <f t="shared" si="0"/>
        <v>1</v>
      </c>
      <c r="G15" s="6" t="s">
        <v>593</v>
      </c>
      <c r="H15" s="6" t="s">
        <v>16</v>
      </c>
      <c r="I15" s="6" t="s">
        <v>17</v>
      </c>
      <c r="J15" s="6" t="s">
        <v>55</v>
      </c>
      <c r="K15" s="8" t="s">
        <v>91</v>
      </c>
      <c r="L15" s="6" t="s">
        <v>518</v>
      </c>
      <c r="M15" s="6" t="s">
        <v>20</v>
      </c>
      <c r="N15" s="6"/>
      <c r="O15" s="6" t="s">
        <v>92</v>
      </c>
      <c r="P15" s="6"/>
      <c r="Q15" s="8"/>
    </row>
    <row r="16" spans="1:17" ht="244.8" x14ac:dyDescent="0.3">
      <c r="A16" s="6" t="s">
        <v>93</v>
      </c>
      <c r="B16" s="7" t="s">
        <v>94</v>
      </c>
      <c r="C16" s="7"/>
      <c r="D16" s="6" t="s">
        <v>38</v>
      </c>
      <c r="E16" s="6" t="s">
        <v>39</v>
      </c>
      <c r="F16" s="24">
        <f t="shared" si="0"/>
        <v>1</v>
      </c>
      <c r="G16" s="6" t="s">
        <v>594</v>
      </c>
      <c r="H16" s="6" t="s">
        <v>16</v>
      </c>
      <c r="I16" s="6" t="s">
        <v>17</v>
      </c>
      <c r="J16" s="6" t="s">
        <v>55</v>
      </c>
      <c r="K16" s="8" t="s">
        <v>95</v>
      </c>
      <c r="L16" s="6" t="s">
        <v>519</v>
      </c>
      <c r="M16" s="6" t="s">
        <v>20</v>
      </c>
      <c r="N16" s="6" t="s">
        <v>57</v>
      </c>
      <c r="O16" s="6" t="s">
        <v>96</v>
      </c>
      <c r="P16" s="6" t="s">
        <v>97</v>
      </c>
      <c r="Q16" s="8"/>
    </row>
    <row r="17" spans="1:17" ht="244.8" x14ac:dyDescent="0.3">
      <c r="A17" s="6" t="s">
        <v>98</v>
      </c>
      <c r="B17" s="7" t="s">
        <v>99</v>
      </c>
      <c r="C17" s="7"/>
      <c r="D17" s="6" t="s">
        <v>38</v>
      </c>
      <c r="E17" s="6" t="s">
        <v>39</v>
      </c>
      <c r="F17" s="24">
        <f t="shared" si="0"/>
        <v>1</v>
      </c>
      <c r="G17" s="6" t="s">
        <v>595</v>
      </c>
      <c r="H17" s="6" t="s">
        <v>16</v>
      </c>
      <c r="I17" s="6" t="s">
        <v>17</v>
      </c>
      <c r="J17" s="6" t="s">
        <v>55</v>
      </c>
      <c r="K17" s="8" t="s">
        <v>34</v>
      </c>
      <c r="L17" s="6" t="s">
        <v>520</v>
      </c>
      <c r="M17" s="6" t="s">
        <v>20</v>
      </c>
      <c r="N17" s="6" t="s">
        <v>43</v>
      </c>
      <c r="O17" s="6" t="s">
        <v>100</v>
      </c>
      <c r="P17" s="6" t="s">
        <v>101</v>
      </c>
      <c r="Q17" s="8"/>
    </row>
    <row r="18" spans="1:17" ht="144" x14ac:dyDescent="0.3">
      <c r="A18" s="6" t="s">
        <v>102</v>
      </c>
      <c r="B18" s="6" t="s">
        <v>103</v>
      </c>
      <c r="C18" s="6"/>
      <c r="D18" s="6" t="s">
        <v>38</v>
      </c>
      <c r="E18" s="6" t="s">
        <v>39</v>
      </c>
      <c r="F18" s="24">
        <f t="shared" si="0"/>
        <v>1</v>
      </c>
      <c r="G18" s="6"/>
      <c r="H18" s="6" t="s">
        <v>104</v>
      </c>
      <c r="I18" s="6" t="s">
        <v>17</v>
      </c>
      <c r="J18" s="6" t="s">
        <v>77</v>
      </c>
      <c r="K18" s="8" t="s">
        <v>105</v>
      </c>
      <c r="L18" s="6" t="s">
        <v>521</v>
      </c>
      <c r="M18" s="6" t="s">
        <v>20</v>
      </c>
      <c r="N18" s="6" t="s">
        <v>43</v>
      </c>
      <c r="O18" s="6" t="s">
        <v>106</v>
      </c>
      <c r="P18" s="6" t="s">
        <v>107</v>
      </c>
      <c r="Q18" s="8"/>
    </row>
    <row r="19" spans="1:17" ht="144" x14ac:dyDescent="0.3">
      <c r="A19" s="6" t="s">
        <v>108</v>
      </c>
      <c r="B19" s="6" t="s">
        <v>109</v>
      </c>
      <c r="C19" s="6"/>
      <c r="D19" s="6" t="s">
        <v>38</v>
      </c>
      <c r="E19" s="6" t="s">
        <v>39</v>
      </c>
      <c r="F19" s="24">
        <f t="shared" si="0"/>
        <v>1</v>
      </c>
      <c r="G19" s="6"/>
      <c r="H19" s="6" t="s">
        <v>104</v>
      </c>
      <c r="I19" s="6" t="s">
        <v>17</v>
      </c>
      <c r="J19" s="6" t="s">
        <v>77</v>
      </c>
      <c r="K19" s="8" t="s">
        <v>110</v>
      </c>
      <c r="L19" s="6" t="s">
        <v>522</v>
      </c>
      <c r="M19" s="6" t="s">
        <v>20</v>
      </c>
      <c r="N19" s="6" t="s">
        <v>43</v>
      </c>
      <c r="O19" s="6" t="s">
        <v>111</v>
      </c>
      <c r="P19" s="6" t="s">
        <v>101</v>
      </c>
      <c r="Q19" s="8"/>
    </row>
    <row r="20" spans="1:17" ht="144" x14ac:dyDescent="0.3">
      <c r="A20" s="6" t="s">
        <v>112</v>
      </c>
      <c r="B20" s="6" t="s">
        <v>113</v>
      </c>
      <c r="C20" s="6"/>
      <c r="D20" s="6" t="s">
        <v>38</v>
      </c>
      <c r="E20" s="6" t="s">
        <v>39</v>
      </c>
      <c r="F20" s="24">
        <f t="shared" si="0"/>
        <v>1</v>
      </c>
      <c r="G20" s="6"/>
      <c r="H20" s="6" t="s">
        <v>16</v>
      </c>
      <c r="I20" s="6" t="s">
        <v>17</v>
      </c>
      <c r="J20" s="6" t="s">
        <v>41</v>
      </c>
      <c r="K20" s="8" t="s">
        <v>114</v>
      </c>
      <c r="L20" s="6" t="s">
        <v>523</v>
      </c>
      <c r="M20" s="6" t="s">
        <v>20</v>
      </c>
      <c r="N20" s="6" t="s">
        <v>115</v>
      </c>
      <c r="O20" s="6" t="s">
        <v>116</v>
      </c>
      <c r="P20" s="6" t="s">
        <v>117</v>
      </c>
      <c r="Q20" s="8"/>
    </row>
    <row r="21" spans="1:17" s="2" customFormat="1" ht="187.2" x14ac:dyDescent="0.3">
      <c r="A21" s="9" t="s">
        <v>118</v>
      </c>
      <c r="B21" s="10" t="s">
        <v>119</v>
      </c>
      <c r="C21" s="10"/>
      <c r="D21" s="6" t="s">
        <v>38</v>
      </c>
      <c r="E21" s="6" t="s">
        <v>39</v>
      </c>
      <c r="F21" s="24">
        <f t="shared" si="0"/>
        <v>1</v>
      </c>
      <c r="G21" s="13" t="s">
        <v>748</v>
      </c>
      <c r="H21" s="9" t="s">
        <v>16</v>
      </c>
      <c r="I21" s="9" t="s">
        <v>120</v>
      </c>
      <c r="J21" s="9" t="s">
        <v>16</v>
      </c>
      <c r="K21" s="11" t="s">
        <v>121</v>
      </c>
      <c r="L21" s="9" t="s">
        <v>524</v>
      </c>
      <c r="M21" s="9" t="s">
        <v>43</v>
      </c>
      <c r="N21" s="9" t="s">
        <v>57</v>
      </c>
      <c r="O21" s="9" t="s">
        <v>122</v>
      </c>
      <c r="P21" s="9" t="s">
        <v>123</v>
      </c>
      <c r="Q21" s="11"/>
    </row>
    <row r="22" spans="1:17" ht="72" x14ac:dyDescent="0.3">
      <c r="A22" s="18" t="s">
        <v>124</v>
      </c>
      <c r="B22" s="19" t="s">
        <v>125</v>
      </c>
      <c r="C22" s="19"/>
      <c r="D22" s="18" t="s">
        <v>592</v>
      </c>
      <c r="E22" s="18"/>
      <c r="F22" s="32">
        <f t="shared" si="0"/>
        <v>0</v>
      </c>
      <c r="G22" s="18"/>
      <c r="H22" s="18"/>
      <c r="I22" s="18"/>
      <c r="J22" s="18"/>
      <c r="K22" s="33">
        <v>38765</v>
      </c>
      <c r="L22" s="18"/>
      <c r="M22" s="18" t="s">
        <v>43</v>
      </c>
      <c r="N22" s="18"/>
      <c r="O22" s="18" t="s">
        <v>126</v>
      </c>
      <c r="P22" s="18"/>
      <c r="Q22" s="20" t="s">
        <v>84</v>
      </c>
    </row>
    <row r="23" spans="1:17" ht="72" x14ac:dyDescent="0.3">
      <c r="A23" s="6" t="s">
        <v>127</v>
      </c>
      <c r="B23" s="7" t="s">
        <v>128</v>
      </c>
      <c r="C23" s="7"/>
      <c r="D23" s="6" t="s">
        <v>596</v>
      </c>
      <c r="E23" s="6" t="s">
        <v>597</v>
      </c>
      <c r="F23" s="24">
        <f t="shared" si="0"/>
        <v>0</v>
      </c>
      <c r="G23" s="6"/>
      <c r="H23" s="6" t="s">
        <v>16</v>
      </c>
      <c r="I23" s="6" t="s">
        <v>17</v>
      </c>
      <c r="J23" s="6" t="s">
        <v>41</v>
      </c>
      <c r="K23" s="8" t="s">
        <v>129</v>
      </c>
      <c r="L23" s="6" t="s">
        <v>525</v>
      </c>
      <c r="M23" s="6" t="s">
        <v>43</v>
      </c>
      <c r="N23" s="6" t="s">
        <v>130</v>
      </c>
      <c r="O23" s="6" t="s">
        <v>131</v>
      </c>
      <c r="P23" s="6" t="s">
        <v>132</v>
      </c>
      <c r="Q23" s="8"/>
    </row>
    <row r="24" spans="1:17" ht="72" x14ac:dyDescent="0.3">
      <c r="A24" s="6" t="s">
        <v>133</v>
      </c>
      <c r="B24" s="6" t="s">
        <v>134</v>
      </c>
      <c r="C24" s="6"/>
      <c r="D24" s="6" t="s">
        <v>38</v>
      </c>
      <c r="E24" s="6" t="s">
        <v>39</v>
      </c>
      <c r="F24" s="24">
        <f t="shared" si="0"/>
        <v>1</v>
      </c>
      <c r="G24" s="6"/>
      <c r="H24" s="6" t="s">
        <v>104</v>
      </c>
      <c r="I24" s="6" t="s">
        <v>17</v>
      </c>
      <c r="J24" s="6" t="s">
        <v>41</v>
      </c>
      <c r="K24" s="8" t="s">
        <v>135</v>
      </c>
      <c r="L24" s="6" t="s">
        <v>526</v>
      </c>
      <c r="M24" s="6" t="s">
        <v>43</v>
      </c>
      <c r="N24" s="6" t="s">
        <v>57</v>
      </c>
      <c r="O24" s="6" t="s">
        <v>136</v>
      </c>
      <c r="P24" s="6" t="s">
        <v>137</v>
      </c>
      <c r="Q24" s="8"/>
    </row>
    <row r="25" spans="1:17" s="2" customFormat="1" ht="156" customHeight="1" x14ac:dyDescent="0.3">
      <c r="A25" s="9" t="s">
        <v>138</v>
      </c>
      <c r="B25" s="10" t="s">
        <v>139</v>
      </c>
      <c r="C25" s="10" t="s">
        <v>757</v>
      </c>
      <c r="D25" s="6" t="s">
        <v>38</v>
      </c>
      <c r="E25" s="6" t="s">
        <v>39</v>
      </c>
      <c r="F25" s="24">
        <f t="shared" si="0"/>
        <v>1</v>
      </c>
      <c r="G25" s="9" t="s">
        <v>758</v>
      </c>
      <c r="H25" s="9" t="s">
        <v>140</v>
      </c>
      <c r="I25" s="9" t="s">
        <v>598</v>
      </c>
      <c r="J25" s="9" t="s">
        <v>599</v>
      </c>
      <c r="K25" s="15">
        <v>33484</v>
      </c>
      <c r="L25" s="9" t="s">
        <v>749</v>
      </c>
      <c r="M25" s="9" t="s">
        <v>66</v>
      </c>
      <c r="N25" s="9" t="s">
        <v>141</v>
      </c>
      <c r="O25" s="9" t="s">
        <v>142</v>
      </c>
      <c r="P25" s="9" t="s">
        <v>143</v>
      </c>
      <c r="Q25" s="11"/>
    </row>
    <row r="26" spans="1:17" s="2" customFormat="1" ht="187.2" x14ac:dyDescent="0.3">
      <c r="A26" s="9" t="s">
        <v>144</v>
      </c>
      <c r="B26" s="10" t="s">
        <v>145</v>
      </c>
      <c r="C26" s="10" t="s">
        <v>760</v>
      </c>
      <c r="D26" s="6" t="s">
        <v>38</v>
      </c>
      <c r="E26" s="6" t="s">
        <v>39</v>
      </c>
      <c r="F26" s="24">
        <f t="shared" si="0"/>
        <v>1</v>
      </c>
      <c r="G26" s="9" t="s">
        <v>759</v>
      </c>
      <c r="H26" s="9" t="s">
        <v>16</v>
      </c>
      <c r="I26" s="9" t="s">
        <v>146</v>
      </c>
      <c r="J26" s="9" t="s">
        <v>16</v>
      </c>
      <c r="K26" s="11" t="s">
        <v>147</v>
      </c>
      <c r="L26" s="9" t="s">
        <v>527</v>
      </c>
      <c r="M26" s="9" t="s">
        <v>20</v>
      </c>
      <c r="N26" s="9" t="s">
        <v>67</v>
      </c>
      <c r="O26" s="9" t="s">
        <v>148</v>
      </c>
      <c r="P26" s="9" t="s">
        <v>149</v>
      </c>
      <c r="Q26" s="11"/>
    </row>
    <row r="27" spans="1:17" ht="72" x14ac:dyDescent="0.3">
      <c r="A27" s="6" t="s">
        <v>150</v>
      </c>
      <c r="B27" s="6" t="s">
        <v>151</v>
      </c>
      <c r="C27" s="6"/>
      <c r="D27" s="6" t="s">
        <v>38</v>
      </c>
      <c r="E27" s="6" t="s">
        <v>39</v>
      </c>
      <c r="F27" s="24">
        <f t="shared" si="0"/>
        <v>1</v>
      </c>
      <c r="G27" s="6"/>
      <c r="H27" s="6" t="s">
        <v>152</v>
      </c>
      <c r="I27" s="6" t="s">
        <v>17</v>
      </c>
      <c r="J27" s="6" t="s">
        <v>41</v>
      </c>
      <c r="K27" s="8" t="s">
        <v>153</v>
      </c>
      <c r="L27" s="6" t="s">
        <v>528</v>
      </c>
      <c r="M27" s="6" t="s">
        <v>20</v>
      </c>
      <c r="N27" s="6" t="s">
        <v>43</v>
      </c>
      <c r="O27" s="6" t="s">
        <v>154</v>
      </c>
      <c r="P27" s="6" t="s">
        <v>155</v>
      </c>
      <c r="Q27" s="8"/>
    </row>
    <row r="28" spans="1:17" ht="72" x14ac:dyDescent="0.3">
      <c r="A28" s="6" t="s">
        <v>156</v>
      </c>
      <c r="B28" s="6" t="s">
        <v>157</v>
      </c>
      <c r="C28" s="6"/>
      <c r="D28" s="6" t="s">
        <v>38</v>
      </c>
      <c r="E28" s="6" t="s">
        <v>39</v>
      </c>
      <c r="F28" s="24">
        <f t="shared" si="0"/>
        <v>1</v>
      </c>
      <c r="G28" s="6"/>
      <c r="H28" s="6" t="s">
        <v>152</v>
      </c>
      <c r="I28" s="6" t="s">
        <v>17</v>
      </c>
      <c r="J28" s="6" t="s">
        <v>41</v>
      </c>
      <c r="K28" s="8" t="s">
        <v>158</v>
      </c>
      <c r="L28" s="6" t="s">
        <v>529</v>
      </c>
      <c r="M28" s="6" t="s">
        <v>43</v>
      </c>
      <c r="N28" s="6"/>
      <c r="O28" s="6" t="s">
        <v>159</v>
      </c>
      <c r="P28" s="6"/>
      <c r="Q28" s="8"/>
    </row>
    <row r="29" spans="1:17" ht="86.4" x14ac:dyDescent="0.3">
      <c r="A29" s="6" t="s">
        <v>160</v>
      </c>
      <c r="B29" s="6" t="s">
        <v>161</v>
      </c>
      <c r="C29" s="6"/>
      <c r="D29" s="6" t="s">
        <v>38</v>
      </c>
      <c r="E29" s="6" t="s">
        <v>39</v>
      </c>
      <c r="F29" s="24">
        <f t="shared" si="0"/>
        <v>1</v>
      </c>
      <c r="G29" s="6"/>
      <c r="H29" s="6" t="s">
        <v>152</v>
      </c>
      <c r="I29" s="6" t="s">
        <v>17</v>
      </c>
      <c r="J29" s="6" t="s">
        <v>41</v>
      </c>
      <c r="K29" s="8" t="s">
        <v>162</v>
      </c>
      <c r="L29" s="6" t="s">
        <v>530</v>
      </c>
      <c r="M29" s="6" t="s">
        <v>43</v>
      </c>
      <c r="N29" s="6" t="s">
        <v>57</v>
      </c>
      <c r="O29" s="6" t="s">
        <v>163</v>
      </c>
      <c r="P29" s="6" t="s">
        <v>164</v>
      </c>
      <c r="Q29" s="8"/>
    </row>
    <row r="30" spans="1:17" ht="72" x14ac:dyDescent="0.3">
      <c r="A30" s="6" t="s">
        <v>165</v>
      </c>
      <c r="B30" s="6" t="s">
        <v>166</v>
      </c>
      <c r="C30" s="6"/>
      <c r="D30" s="6" t="s">
        <v>38</v>
      </c>
      <c r="E30" s="6" t="s">
        <v>39</v>
      </c>
      <c r="F30" s="24">
        <f t="shared" si="0"/>
        <v>1</v>
      </c>
      <c r="G30" s="6"/>
      <c r="H30" s="6" t="s">
        <v>152</v>
      </c>
      <c r="I30" s="6" t="s">
        <v>17</v>
      </c>
      <c r="J30" s="6" t="s">
        <v>41</v>
      </c>
      <c r="K30" s="8" t="s">
        <v>135</v>
      </c>
      <c r="L30" s="6" t="s">
        <v>531</v>
      </c>
      <c r="M30" s="6" t="s">
        <v>43</v>
      </c>
      <c r="N30" s="6"/>
      <c r="O30" s="6" t="s">
        <v>167</v>
      </c>
      <c r="P30" s="6"/>
      <c r="Q30" s="8"/>
    </row>
    <row r="31" spans="1:17" s="2" customFormat="1" ht="144" x14ac:dyDescent="0.3">
      <c r="A31" s="9" t="s">
        <v>168</v>
      </c>
      <c r="B31" s="10" t="s">
        <v>169</v>
      </c>
      <c r="C31" s="10"/>
      <c r="D31" s="9" t="s">
        <v>596</v>
      </c>
      <c r="E31" s="9" t="s">
        <v>16</v>
      </c>
      <c r="F31" s="24">
        <f t="shared" si="0"/>
        <v>0</v>
      </c>
      <c r="G31" s="9" t="s">
        <v>763</v>
      </c>
      <c r="H31" s="9" t="s">
        <v>16</v>
      </c>
      <c r="I31" s="9" t="s">
        <v>17</v>
      </c>
      <c r="J31" s="9" t="s">
        <v>170</v>
      </c>
      <c r="K31" s="11" t="s">
        <v>171</v>
      </c>
      <c r="L31" s="9" t="s">
        <v>532</v>
      </c>
      <c r="M31" s="9" t="s">
        <v>20</v>
      </c>
      <c r="N31" s="9" t="s">
        <v>172</v>
      </c>
      <c r="O31" s="9" t="s">
        <v>173</v>
      </c>
      <c r="P31" s="9" t="s">
        <v>174</v>
      </c>
      <c r="Q31" s="11"/>
    </row>
    <row r="32" spans="1:17" s="2" customFormat="1" ht="187.2" x14ac:dyDescent="0.3">
      <c r="A32" s="9" t="s">
        <v>175</v>
      </c>
      <c r="B32" s="10" t="s">
        <v>176</v>
      </c>
      <c r="C32" s="10"/>
      <c r="D32" s="6" t="s">
        <v>38</v>
      </c>
      <c r="E32" s="6" t="s">
        <v>39</v>
      </c>
      <c r="F32" s="24">
        <f t="shared" si="0"/>
        <v>1</v>
      </c>
      <c r="G32" s="9" t="s">
        <v>784</v>
      </c>
      <c r="H32" s="9" t="s">
        <v>16</v>
      </c>
      <c r="I32" s="9" t="s">
        <v>17</v>
      </c>
      <c r="J32" s="9" t="s">
        <v>16</v>
      </c>
      <c r="K32" s="11" t="s">
        <v>177</v>
      </c>
      <c r="L32" s="9" t="s">
        <v>533</v>
      </c>
      <c r="M32" s="9" t="s">
        <v>20</v>
      </c>
      <c r="N32" s="9" t="s">
        <v>67</v>
      </c>
      <c r="O32" s="9" t="s">
        <v>178</v>
      </c>
      <c r="P32" s="9" t="s">
        <v>179</v>
      </c>
      <c r="Q32" s="11"/>
    </row>
    <row r="33" spans="1:17" s="2" customFormat="1" ht="86.4" x14ac:dyDescent="0.3">
      <c r="A33" s="9" t="s">
        <v>180</v>
      </c>
      <c r="B33" s="10" t="s">
        <v>181</v>
      </c>
      <c r="C33" s="10"/>
      <c r="D33" s="11" t="s">
        <v>765</v>
      </c>
      <c r="E33" s="9" t="s">
        <v>764</v>
      </c>
      <c r="F33" s="24">
        <f t="shared" si="0"/>
        <v>0</v>
      </c>
      <c r="G33" s="10" t="s">
        <v>766</v>
      </c>
      <c r="H33" s="9" t="s">
        <v>16</v>
      </c>
      <c r="I33" s="9" t="s">
        <v>17</v>
      </c>
      <c r="J33" s="9" t="s">
        <v>170</v>
      </c>
      <c r="K33" s="11" t="s">
        <v>182</v>
      </c>
      <c r="L33" s="9" t="s">
        <v>534</v>
      </c>
      <c r="M33" s="9" t="s">
        <v>20</v>
      </c>
      <c r="N33" s="9" t="s">
        <v>43</v>
      </c>
      <c r="O33" s="9" t="s">
        <v>183</v>
      </c>
      <c r="P33" s="9" t="s">
        <v>184</v>
      </c>
      <c r="Q33" s="11"/>
    </row>
    <row r="34" spans="1:17" ht="72" x14ac:dyDescent="0.3">
      <c r="A34" s="6" t="s">
        <v>185</v>
      </c>
      <c r="B34" s="7" t="s">
        <v>186</v>
      </c>
      <c r="C34" s="7"/>
      <c r="D34" s="16" t="s">
        <v>592</v>
      </c>
      <c r="E34" s="6"/>
      <c r="F34" s="24">
        <f t="shared" si="0"/>
        <v>0</v>
      </c>
      <c r="G34" s="6"/>
      <c r="H34" s="6"/>
      <c r="I34" s="6"/>
      <c r="J34" s="6"/>
      <c r="K34" s="17">
        <v>37968</v>
      </c>
      <c r="L34" s="6"/>
      <c r="M34" s="6" t="s">
        <v>20</v>
      </c>
      <c r="N34" s="6" t="s">
        <v>43</v>
      </c>
      <c r="O34" s="6" t="s">
        <v>187</v>
      </c>
      <c r="P34" s="6" t="s">
        <v>188</v>
      </c>
      <c r="Q34" s="8" t="s">
        <v>84</v>
      </c>
    </row>
    <row r="35" spans="1:17" s="2" customFormat="1" ht="172.8" x14ac:dyDescent="0.3">
      <c r="A35" s="9" t="s">
        <v>189</v>
      </c>
      <c r="B35" s="10" t="s">
        <v>190</v>
      </c>
      <c r="C35" s="10" t="s">
        <v>768</v>
      </c>
      <c r="D35" s="9" t="s">
        <v>596</v>
      </c>
      <c r="E35" s="9" t="s">
        <v>16</v>
      </c>
      <c r="F35" s="24">
        <f t="shared" si="0"/>
        <v>0</v>
      </c>
      <c r="G35" s="9" t="s">
        <v>767</v>
      </c>
      <c r="H35" s="9" t="s">
        <v>16</v>
      </c>
      <c r="I35" s="9" t="s">
        <v>17</v>
      </c>
      <c r="J35" s="9" t="s">
        <v>191</v>
      </c>
      <c r="K35" s="11" t="s">
        <v>192</v>
      </c>
      <c r="L35" s="9" t="s">
        <v>535</v>
      </c>
      <c r="M35" s="9" t="s">
        <v>20</v>
      </c>
      <c r="N35" s="9"/>
      <c r="O35" s="9" t="s">
        <v>193</v>
      </c>
      <c r="P35" s="9"/>
      <c r="Q35" s="11"/>
    </row>
    <row r="36" spans="1:17" s="2" customFormat="1" ht="100.8" x14ac:dyDescent="0.3">
      <c r="A36" s="9" t="s">
        <v>194</v>
      </c>
      <c r="B36" s="10" t="s">
        <v>195</v>
      </c>
      <c r="C36" s="10"/>
      <c r="D36" s="9" t="s">
        <v>770</v>
      </c>
      <c r="E36" s="9" t="s">
        <v>16</v>
      </c>
      <c r="F36" s="24">
        <f t="shared" si="0"/>
        <v>0</v>
      </c>
      <c r="G36" s="9" t="s">
        <v>769</v>
      </c>
      <c r="H36" s="9" t="s">
        <v>16</v>
      </c>
      <c r="I36" s="9" t="s">
        <v>17</v>
      </c>
      <c r="J36" s="9" t="s">
        <v>196</v>
      </c>
      <c r="K36" s="11" t="s">
        <v>197</v>
      </c>
      <c r="L36" s="9" t="s">
        <v>536</v>
      </c>
      <c r="M36" s="9" t="s">
        <v>20</v>
      </c>
      <c r="N36" s="9"/>
      <c r="O36" s="9" t="s">
        <v>198</v>
      </c>
      <c r="P36" s="9"/>
      <c r="Q36" s="11"/>
    </row>
    <row r="37" spans="1:17" s="2" customFormat="1" ht="146.4" customHeight="1" x14ac:dyDescent="0.3">
      <c r="A37" s="9" t="s">
        <v>199</v>
      </c>
      <c r="B37" s="10" t="s">
        <v>200</v>
      </c>
      <c r="C37" s="10" t="s">
        <v>772</v>
      </c>
      <c r="D37" s="9" t="s">
        <v>596</v>
      </c>
      <c r="E37" s="9" t="s">
        <v>16</v>
      </c>
      <c r="F37" s="24">
        <f t="shared" si="0"/>
        <v>0</v>
      </c>
      <c r="G37" s="9" t="s">
        <v>771</v>
      </c>
      <c r="H37" s="9" t="s">
        <v>16</v>
      </c>
      <c r="I37" s="9" t="s">
        <v>201</v>
      </c>
      <c r="J37" s="9" t="s">
        <v>16</v>
      </c>
      <c r="K37" s="11" t="s">
        <v>202</v>
      </c>
      <c r="L37" s="9" t="s">
        <v>537</v>
      </c>
      <c r="M37" s="9" t="s">
        <v>43</v>
      </c>
      <c r="N37" s="9"/>
      <c r="O37" s="9" t="s">
        <v>203</v>
      </c>
      <c r="P37" s="9"/>
      <c r="Q37" s="11"/>
    </row>
    <row r="38" spans="1:17" ht="72" x14ac:dyDescent="0.3">
      <c r="A38" s="6" t="s">
        <v>204</v>
      </c>
      <c r="B38" s="6" t="s">
        <v>205</v>
      </c>
      <c r="C38" s="6"/>
      <c r="D38" s="6" t="s">
        <v>38</v>
      </c>
      <c r="E38" s="6" t="s">
        <v>39</v>
      </c>
      <c r="F38" s="24">
        <f t="shared" si="0"/>
        <v>1</v>
      </c>
      <c r="G38" s="6"/>
      <c r="H38" s="6" t="s">
        <v>206</v>
      </c>
      <c r="I38" s="6" t="s">
        <v>17</v>
      </c>
      <c r="J38" s="6" t="s">
        <v>41</v>
      </c>
      <c r="K38" s="8" t="s">
        <v>207</v>
      </c>
      <c r="L38" s="6" t="s">
        <v>538</v>
      </c>
      <c r="M38" s="6" t="s">
        <v>43</v>
      </c>
      <c r="N38" s="6" t="s">
        <v>57</v>
      </c>
      <c r="O38" s="6" t="s">
        <v>208</v>
      </c>
      <c r="P38" s="6" t="s">
        <v>209</v>
      </c>
      <c r="Q38" s="8"/>
    </row>
    <row r="39" spans="1:17" ht="72" x14ac:dyDescent="0.3">
      <c r="A39" s="6" t="s">
        <v>210</v>
      </c>
      <c r="B39" s="6" t="s">
        <v>211</v>
      </c>
      <c r="C39" s="6"/>
      <c r="D39" s="6" t="s">
        <v>38</v>
      </c>
      <c r="E39" s="6" t="s">
        <v>39</v>
      </c>
      <c r="F39" s="24">
        <f t="shared" si="0"/>
        <v>1</v>
      </c>
      <c r="G39" s="6"/>
      <c r="H39" s="6" t="s">
        <v>206</v>
      </c>
      <c r="I39" s="6" t="s">
        <v>17</v>
      </c>
      <c r="J39" s="6" t="s">
        <v>41</v>
      </c>
      <c r="K39" s="8" t="s">
        <v>207</v>
      </c>
      <c r="L39" s="6" t="s">
        <v>539</v>
      </c>
      <c r="M39" s="6" t="s">
        <v>43</v>
      </c>
      <c r="N39" s="6"/>
      <c r="O39" s="6" t="s">
        <v>212</v>
      </c>
      <c r="P39" s="6"/>
      <c r="Q39" s="8"/>
    </row>
    <row r="40" spans="1:17" ht="86.4" x14ac:dyDescent="0.3">
      <c r="A40" s="6" t="s">
        <v>213</v>
      </c>
      <c r="B40" s="7" t="s">
        <v>214</v>
      </c>
      <c r="C40" s="7"/>
      <c r="D40" s="6" t="s">
        <v>596</v>
      </c>
      <c r="E40" s="6" t="s">
        <v>600</v>
      </c>
      <c r="F40" s="24">
        <f t="shared" si="0"/>
        <v>0</v>
      </c>
      <c r="G40" s="6"/>
      <c r="H40" s="6" t="s">
        <v>16</v>
      </c>
      <c r="I40" s="6" t="s">
        <v>17</v>
      </c>
      <c r="J40" s="6" t="s">
        <v>215</v>
      </c>
      <c r="K40" s="8" t="s">
        <v>216</v>
      </c>
      <c r="L40" s="6" t="s">
        <v>540</v>
      </c>
      <c r="M40" s="6" t="s">
        <v>43</v>
      </c>
      <c r="N40" s="6" t="s">
        <v>57</v>
      </c>
      <c r="O40" s="6" t="s">
        <v>217</v>
      </c>
      <c r="P40" s="6" t="s">
        <v>218</v>
      </c>
      <c r="Q40" s="8"/>
    </row>
    <row r="41" spans="1:17" ht="57.6" x14ac:dyDescent="0.3">
      <c r="A41" s="6" t="s">
        <v>219</v>
      </c>
      <c r="B41" s="6" t="s">
        <v>220</v>
      </c>
      <c r="C41" s="6"/>
      <c r="D41" s="6" t="s">
        <v>38</v>
      </c>
      <c r="E41" s="6" t="s">
        <v>39</v>
      </c>
      <c r="F41" s="24">
        <f t="shared" si="0"/>
        <v>1</v>
      </c>
      <c r="G41" s="6"/>
      <c r="H41" s="6" t="s">
        <v>206</v>
      </c>
      <c r="I41" s="6" t="s">
        <v>17</v>
      </c>
      <c r="J41" s="6" t="s">
        <v>41</v>
      </c>
      <c r="K41" s="8" t="s">
        <v>221</v>
      </c>
      <c r="L41" s="6" t="s">
        <v>541</v>
      </c>
      <c r="M41" s="6"/>
      <c r="N41" s="6"/>
      <c r="O41" s="6"/>
      <c r="P41" s="6"/>
      <c r="Q41" s="8"/>
    </row>
    <row r="42" spans="1:17" ht="144" x14ac:dyDescent="0.3">
      <c r="A42" s="6" t="s">
        <v>222</v>
      </c>
      <c r="B42" s="7" t="s">
        <v>223</v>
      </c>
      <c r="C42" s="6"/>
      <c r="D42" s="6" t="s">
        <v>38</v>
      </c>
      <c r="E42" s="6" t="s">
        <v>39</v>
      </c>
      <c r="F42" s="24">
        <f t="shared" si="0"/>
        <v>1</v>
      </c>
      <c r="G42" s="6"/>
      <c r="H42" s="6" t="s">
        <v>224</v>
      </c>
      <c r="I42" s="6" t="s">
        <v>17</v>
      </c>
      <c r="J42" s="6" t="s">
        <v>225</v>
      </c>
      <c r="K42" s="8" t="s">
        <v>226</v>
      </c>
      <c r="L42" s="6" t="s">
        <v>542</v>
      </c>
      <c r="M42" s="6" t="s">
        <v>20</v>
      </c>
      <c r="N42" s="6" t="s">
        <v>115</v>
      </c>
      <c r="O42" s="6" t="s">
        <v>227</v>
      </c>
      <c r="P42" s="6" t="s">
        <v>228</v>
      </c>
      <c r="Q42" s="8"/>
    </row>
    <row r="43" spans="1:17" s="2" customFormat="1" ht="144" x14ac:dyDescent="0.3">
      <c r="A43" s="9" t="s">
        <v>229</v>
      </c>
      <c r="B43" s="10" t="s">
        <v>230</v>
      </c>
      <c r="C43" s="10" t="s">
        <v>773</v>
      </c>
      <c r="D43" s="9" t="s">
        <v>596</v>
      </c>
      <c r="E43" s="9" t="s">
        <v>16</v>
      </c>
      <c r="F43" s="24">
        <f t="shared" si="0"/>
        <v>0</v>
      </c>
      <c r="G43" s="9"/>
      <c r="H43" s="9" t="s">
        <v>16</v>
      </c>
      <c r="I43" s="9" t="s">
        <v>17</v>
      </c>
      <c r="J43" s="9" t="s">
        <v>231</v>
      </c>
      <c r="K43" s="11" t="s">
        <v>232</v>
      </c>
      <c r="L43" s="9" t="s">
        <v>543</v>
      </c>
      <c r="M43" s="9" t="s">
        <v>233</v>
      </c>
      <c r="N43" s="9" t="s">
        <v>234</v>
      </c>
      <c r="O43" s="9" t="s">
        <v>235</v>
      </c>
      <c r="P43" s="9" t="s">
        <v>236</v>
      </c>
      <c r="Q43" s="11"/>
    </row>
    <row r="44" spans="1:17" s="4" customFormat="1" ht="115.2" x14ac:dyDescent="0.3">
      <c r="A44" s="9" t="s">
        <v>237</v>
      </c>
      <c r="B44" s="10" t="s">
        <v>238</v>
      </c>
      <c r="C44" s="10"/>
      <c r="D44" s="9" t="s">
        <v>38</v>
      </c>
      <c r="E44" s="9" t="s">
        <v>39</v>
      </c>
      <c r="F44" s="25">
        <f t="shared" si="0"/>
        <v>1</v>
      </c>
      <c r="G44" s="9" t="s">
        <v>785</v>
      </c>
      <c r="H44" s="9" t="s">
        <v>16</v>
      </c>
      <c r="I44" s="9" t="s">
        <v>17</v>
      </c>
      <c r="J44" s="9" t="s">
        <v>239</v>
      </c>
      <c r="K44" s="11" t="s">
        <v>240</v>
      </c>
      <c r="L44" s="9" t="s">
        <v>544</v>
      </c>
      <c r="M44" s="9" t="s">
        <v>43</v>
      </c>
      <c r="N44" s="9" t="s">
        <v>57</v>
      </c>
      <c r="O44" s="9" t="s">
        <v>241</v>
      </c>
      <c r="P44" s="9" t="s">
        <v>242</v>
      </c>
      <c r="Q44" s="11"/>
    </row>
    <row r="45" spans="1:17" ht="115.2" x14ac:dyDescent="0.3">
      <c r="A45" s="6" t="s">
        <v>243</v>
      </c>
      <c r="B45" s="7" t="s">
        <v>244</v>
      </c>
      <c r="C45" s="7"/>
      <c r="D45" s="6" t="s">
        <v>38</v>
      </c>
      <c r="E45" s="6" t="s">
        <v>39</v>
      </c>
      <c r="F45" s="24">
        <f t="shared" si="0"/>
        <v>1</v>
      </c>
      <c r="G45" s="6"/>
      <c r="H45" s="6" t="s">
        <v>245</v>
      </c>
      <c r="I45" s="6" t="s">
        <v>17</v>
      </c>
      <c r="J45" s="6" t="s">
        <v>41</v>
      </c>
      <c r="K45" s="8" t="s">
        <v>246</v>
      </c>
      <c r="L45" s="6" t="s">
        <v>545</v>
      </c>
      <c r="M45" s="6" t="s">
        <v>43</v>
      </c>
      <c r="N45" s="6"/>
      <c r="O45" s="6" t="s">
        <v>247</v>
      </c>
      <c r="P45" s="6"/>
      <c r="Q45" s="8"/>
    </row>
    <row r="46" spans="1:17" ht="72" x14ac:dyDescent="0.3">
      <c r="A46" s="6" t="s">
        <v>248</v>
      </c>
      <c r="B46" s="6" t="s">
        <v>249</v>
      </c>
      <c r="C46" s="6"/>
      <c r="D46" s="6" t="s">
        <v>38</v>
      </c>
      <c r="E46" s="6" t="s">
        <v>39</v>
      </c>
      <c r="F46" s="24">
        <f t="shared" si="0"/>
        <v>1</v>
      </c>
      <c r="G46" s="6"/>
      <c r="H46" s="6" t="s">
        <v>104</v>
      </c>
      <c r="I46" s="6" t="s">
        <v>17</v>
      </c>
      <c r="J46" s="6" t="s">
        <v>41</v>
      </c>
      <c r="K46" s="8" t="s">
        <v>250</v>
      </c>
      <c r="L46" s="6" t="s">
        <v>546</v>
      </c>
      <c r="M46" s="6" t="s">
        <v>43</v>
      </c>
      <c r="N46" s="6"/>
      <c r="O46" s="6" t="s">
        <v>251</v>
      </c>
      <c r="P46" s="6"/>
      <c r="Q46" s="8"/>
    </row>
    <row r="47" spans="1:17" ht="129.6" x14ac:dyDescent="0.3">
      <c r="A47" s="6" t="s">
        <v>252</v>
      </c>
      <c r="B47" s="6" t="s">
        <v>253</v>
      </c>
      <c r="C47" s="6"/>
      <c r="D47" s="6" t="s">
        <v>38</v>
      </c>
      <c r="E47" s="6" t="s">
        <v>39</v>
      </c>
      <c r="F47" s="24">
        <f t="shared" si="0"/>
        <v>1</v>
      </c>
      <c r="G47" s="6"/>
      <c r="H47" s="6" t="s">
        <v>40</v>
      </c>
      <c r="I47" s="6" t="s">
        <v>17</v>
      </c>
      <c r="J47" s="6" t="s">
        <v>41</v>
      </c>
      <c r="K47" s="8" t="s">
        <v>52</v>
      </c>
      <c r="L47" s="6" t="s">
        <v>547</v>
      </c>
      <c r="M47" s="6" t="s">
        <v>254</v>
      </c>
      <c r="N47" s="6" t="s">
        <v>255</v>
      </c>
      <c r="O47" s="6" t="s">
        <v>256</v>
      </c>
      <c r="P47" s="6" t="s">
        <v>257</v>
      </c>
      <c r="Q47" s="8"/>
    </row>
    <row r="48" spans="1:17" ht="72" x14ac:dyDescent="0.3">
      <c r="A48" s="6" t="s">
        <v>258</v>
      </c>
      <c r="B48" s="6" t="s">
        <v>259</v>
      </c>
      <c r="C48" s="6"/>
      <c r="D48" s="6" t="s">
        <v>38</v>
      </c>
      <c r="E48" s="6" t="s">
        <v>39</v>
      </c>
      <c r="F48" s="24">
        <f t="shared" si="0"/>
        <v>1</v>
      </c>
      <c r="G48" s="6"/>
      <c r="H48" s="6" t="s">
        <v>224</v>
      </c>
      <c r="I48" s="6" t="s">
        <v>17</v>
      </c>
      <c r="J48" s="6" t="s">
        <v>225</v>
      </c>
      <c r="K48" s="8" t="s">
        <v>260</v>
      </c>
      <c r="L48" s="6" t="s">
        <v>548</v>
      </c>
      <c r="M48" s="6" t="s">
        <v>43</v>
      </c>
      <c r="N48" s="6" t="s">
        <v>57</v>
      </c>
      <c r="O48" s="6" t="s">
        <v>261</v>
      </c>
      <c r="P48" s="6" t="s">
        <v>262</v>
      </c>
      <c r="Q48" s="8"/>
    </row>
    <row r="49" spans="1:17" ht="72" x14ac:dyDescent="0.3">
      <c r="A49" s="6" t="s">
        <v>263</v>
      </c>
      <c r="B49" s="6" t="s">
        <v>264</v>
      </c>
      <c r="C49" s="6"/>
      <c r="D49" s="6" t="s">
        <v>38</v>
      </c>
      <c r="E49" s="6" t="s">
        <v>39</v>
      </c>
      <c r="F49" s="24">
        <f t="shared" si="0"/>
        <v>1</v>
      </c>
      <c r="G49" s="6"/>
      <c r="H49" s="6" t="s">
        <v>265</v>
      </c>
      <c r="I49" s="6" t="s">
        <v>17</v>
      </c>
      <c r="J49" s="6" t="s">
        <v>41</v>
      </c>
      <c r="K49" s="8" t="s">
        <v>207</v>
      </c>
      <c r="L49" s="6" t="s">
        <v>549</v>
      </c>
      <c r="M49" s="6" t="s">
        <v>20</v>
      </c>
      <c r="N49" s="6" t="s">
        <v>43</v>
      </c>
      <c r="O49" s="6" t="s">
        <v>35</v>
      </c>
      <c r="P49" s="6" t="s">
        <v>266</v>
      </c>
      <c r="Q49" s="8"/>
    </row>
    <row r="50" spans="1:17" ht="70.2" customHeight="1" x14ac:dyDescent="0.3">
      <c r="A50" s="6" t="s">
        <v>267</v>
      </c>
      <c r="B50" s="6" t="s">
        <v>268</v>
      </c>
      <c r="C50" s="6"/>
      <c r="D50" s="6" t="s">
        <v>269</v>
      </c>
      <c r="E50" s="6" t="s">
        <v>270</v>
      </c>
      <c r="F50" s="24">
        <f t="shared" si="0"/>
        <v>1</v>
      </c>
      <c r="G50" s="6"/>
      <c r="H50" s="6" t="s">
        <v>271</v>
      </c>
      <c r="I50" s="6" t="s">
        <v>762</v>
      </c>
      <c r="J50" s="6" t="s">
        <v>272</v>
      </c>
      <c r="K50" s="8" t="s">
        <v>273</v>
      </c>
      <c r="L50" s="6" t="s">
        <v>550</v>
      </c>
      <c r="M50" s="6" t="s">
        <v>66</v>
      </c>
      <c r="N50" s="6" t="s">
        <v>67</v>
      </c>
      <c r="O50" s="6" t="s">
        <v>274</v>
      </c>
      <c r="P50" s="6" t="s">
        <v>275</v>
      </c>
      <c r="Q50" s="8"/>
    </row>
    <row r="51" spans="1:17" ht="72" x14ac:dyDescent="0.3">
      <c r="A51" s="6" t="s">
        <v>276</v>
      </c>
      <c r="B51" s="6" t="s">
        <v>277</v>
      </c>
      <c r="C51" s="6"/>
      <c r="D51" s="6" t="s">
        <v>38</v>
      </c>
      <c r="E51" s="6" t="s">
        <v>278</v>
      </c>
      <c r="F51" s="24">
        <f t="shared" si="0"/>
        <v>0</v>
      </c>
      <c r="G51" s="6"/>
      <c r="H51" s="6" t="s">
        <v>279</v>
      </c>
      <c r="I51" s="6" t="s">
        <v>17</v>
      </c>
      <c r="J51" s="6" t="s">
        <v>280</v>
      </c>
      <c r="K51" s="8" t="s">
        <v>281</v>
      </c>
      <c r="L51" s="6" t="s">
        <v>551</v>
      </c>
      <c r="M51" s="6" t="s">
        <v>20</v>
      </c>
      <c r="N51" s="6" t="s">
        <v>43</v>
      </c>
      <c r="O51" s="6" t="s">
        <v>44</v>
      </c>
      <c r="P51" s="6" t="s">
        <v>282</v>
      </c>
      <c r="Q51" s="8"/>
    </row>
    <row r="52" spans="1:17" ht="144" x14ac:dyDescent="0.3">
      <c r="A52" s="6" t="s">
        <v>283</v>
      </c>
      <c r="B52" s="6" t="s">
        <v>284</v>
      </c>
      <c r="C52" s="6"/>
      <c r="D52" s="6" t="s">
        <v>38</v>
      </c>
      <c r="E52" s="6" t="s">
        <v>39</v>
      </c>
      <c r="F52" s="24">
        <f t="shared" si="0"/>
        <v>1</v>
      </c>
      <c r="G52" s="6"/>
      <c r="H52" s="6" t="s">
        <v>285</v>
      </c>
      <c r="I52" s="6" t="s">
        <v>17</v>
      </c>
      <c r="J52" s="6" t="s">
        <v>41</v>
      </c>
      <c r="K52" s="8" t="s">
        <v>286</v>
      </c>
      <c r="L52" s="6" t="s">
        <v>552</v>
      </c>
      <c r="M52" s="6" t="s">
        <v>287</v>
      </c>
      <c r="N52" s="6" t="s">
        <v>115</v>
      </c>
      <c r="O52" s="6" t="s">
        <v>288</v>
      </c>
      <c r="P52" s="6" t="s">
        <v>289</v>
      </c>
      <c r="Q52" s="8"/>
    </row>
    <row r="53" spans="1:17" s="2" customFormat="1" ht="360" x14ac:dyDescent="0.3">
      <c r="A53" s="9" t="s">
        <v>290</v>
      </c>
      <c r="B53" s="10" t="s">
        <v>291</v>
      </c>
      <c r="C53" s="9"/>
      <c r="D53" s="9" t="s">
        <v>38</v>
      </c>
      <c r="E53" s="9" t="s">
        <v>39</v>
      </c>
      <c r="F53" s="25">
        <f t="shared" si="0"/>
        <v>1</v>
      </c>
      <c r="G53" s="9" t="s">
        <v>815</v>
      </c>
      <c r="H53" s="9" t="s">
        <v>16</v>
      </c>
      <c r="I53" s="9" t="s">
        <v>292</v>
      </c>
      <c r="J53" s="9" t="s">
        <v>16</v>
      </c>
      <c r="K53" s="11" t="s">
        <v>91</v>
      </c>
      <c r="L53" s="9" t="s">
        <v>553</v>
      </c>
      <c r="M53" s="9" t="s">
        <v>43</v>
      </c>
      <c r="N53" s="9" t="s">
        <v>57</v>
      </c>
      <c r="O53" s="9" t="s">
        <v>293</v>
      </c>
      <c r="P53" s="9" t="s">
        <v>294</v>
      </c>
      <c r="Q53" s="11"/>
    </row>
    <row r="54" spans="1:17" ht="72" x14ac:dyDescent="0.3">
      <c r="A54" s="6" t="s">
        <v>295</v>
      </c>
      <c r="B54" s="6" t="s">
        <v>296</v>
      </c>
      <c r="C54" s="6"/>
      <c r="D54" s="6" t="s">
        <v>38</v>
      </c>
      <c r="E54" s="6" t="s">
        <v>39</v>
      </c>
      <c r="F54" s="24">
        <f t="shared" si="0"/>
        <v>1</v>
      </c>
      <c r="G54" s="6"/>
      <c r="H54" s="6" t="s">
        <v>285</v>
      </c>
      <c r="I54" s="6" t="s">
        <v>17</v>
      </c>
      <c r="J54" s="6" t="s">
        <v>41</v>
      </c>
      <c r="K54" s="8" t="s">
        <v>114</v>
      </c>
      <c r="L54" s="6" t="s">
        <v>554</v>
      </c>
      <c r="M54" s="6" t="s">
        <v>43</v>
      </c>
      <c r="N54" s="6" t="s">
        <v>57</v>
      </c>
      <c r="O54" s="6" t="s">
        <v>297</v>
      </c>
      <c r="P54" s="6" t="s">
        <v>298</v>
      </c>
      <c r="Q54" s="8"/>
    </row>
    <row r="55" spans="1:17" s="2" customFormat="1" ht="230.4" x14ac:dyDescent="0.3">
      <c r="A55" s="9" t="s">
        <v>299</v>
      </c>
      <c r="B55" s="10" t="s">
        <v>300</v>
      </c>
      <c r="C55" s="9"/>
      <c r="D55" s="9" t="s">
        <v>38</v>
      </c>
      <c r="E55" s="9" t="s">
        <v>39</v>
      </c>
      <c r="F55" s="24">
        <f t="shared" si="0"/>
        <v>1</v>
      </c>
      <c r="G55" s="9" t="s">
        <v>774</v>
      </c>
      <c r="H55" s="9" t="s">
        <v>16</v>
      </c>
      <c r="I55" s="9" t="s">
        <v>17</v>
      </c>
      <c r="J55" s="9" t="s">
        <v>301</v>
      </c>
      <c r="K55" s="11" t="s">
        <v>302</v>
      </c>
      <c r="L55" s="9" t="s">
        <v>555</v>
      </c>
      <c r="M55" s="9" t="s">
        <v>43</v>
      </c>
      <c r="N55" s="9"/>
      <c r="O55" s="9" t="s">
        <v>303</v>
      </c>
      <c r="P55" s="9"/>
      <c r="Q55" s="11"/>
    </row>
    <row r="56" spans="1:17" s="2" customFormat="1" ht="115.2" x14ac:dyDescent="0.3">
      <c r="A56" s="9" t="s">
        <v>304</v>
      </c>
      <c r="B56" s="10" t="s">
        <v>305</v>
      </c>
      <c r="C56" s="9"/>
      <c r="D56" s="9" t="s">
        <v>596</v>
      </c>
      <c r="E56" s="9" t="s">
        <v>16</v>
      </c>
      <c r="F56" s="24">
        <f t="shared" si="0"/>
        <v>0</v>
      </c>
      <c r="G56" s="9"/>
      <c r="H56" s="9" t="s">
        <v>775</v>
      </c>
      <c r="I56" s="9" t="s">
        <v>17</v>
      </c>
      <c r="J56" s="9" t="s">
        <v>280</v>
      </c>
      <c r="K56" s="11" t="s">
        <v>306</v>
      </c>
      <c r="L56" s="9" t="s">
        <v>556</v>
      </c>
      <c r="M56" s="9" t="s">
        <v>43</v>
      </c>
      <c r="N56" s="9" t="s">
        <v>307</v>
      </c>
      <c r="O56" s="9" t="s">
        <v>308</v>
      </c>
      <c r="P56" s="9" t="s">
        <v>309</v>
      </c>
      <c r="Q56" s="11"/>
    </row>
    <row r="57" spans="1:17" s="2" customFormat="1" ht="187.2" x14ac:dyDescent="0.3">
      <c r="A57" s="9" t="s">
        <v>310</v>
      </c>
      <c r="B57" s="10" t="s">
        <v>311</v>
      </c>
      <c r="C57" s="9"/>
      <c r="D57" s="9" t="s">
        <v>38</v>
      </c>
      <c r="E57" s="9" t="s">
        <v>39</v>
      </c>
      <c r="F57" s="25">
        <f t="shared" si="0"/>
        <v>1</v>
      </c>
      <c r="G57" s="9" t="s">
        <v>776</v>
      </c>
      <c r="H57" s="9" t="s">
        <v>557</v>
      </c>
      <c r="I57" s="9" t="s">
        <v>17</v>
      </c>
      <c r="J57" s="9" t="s">
        <v>312</v>
      </c>
      <c r="K57" s="11" t="s">
        <v>313</v>
      </c>
      <c r="L57" s="9" t="s">
        <v>557</v>
      </c>
      <c r="M57" s="9" t="s">
        <v>20</v>
      </c>
      <c r="N57" s="9" t="s">
        <v>43</v>
      </c>
      <c r="O57" s="9" t="s">
        <v>35</v>
      </c>
      <c r="P57" s="9" t="s">
        <v>314</v>
      </c>
      <c r="Q57" s="11"/>
    </row>
    <row r="58" spans="1:17" s="4" customFormat="1" ht="288" x14ac:dyDescent="0.3">
      <c r="A58" s="21" t="s">
        <v>315</v>
      </c>
      <c r="B58" s="21" t="s">
        <v>316</v>
      </c>
      <c r="C58" s="21"/>
      <c r="D58" s="21" t="s">
        <v>592</v>
      </c>
      <c r="E58" s="21" t="s">
        <v>140</v>
      </c>
      <c r="F58" s="24">
        <f t="shared" si="0"/>
        <v>0</v>
      </c>
      <c r="G58" s="21"/>
      <c r="H58" s="21" t="s">
        <v>140</v>
      </c>
      <c r="I58" s="21" t="s">
        <v>317</v>
      </c>
      <c r="J58" s="21" t="s">
        <v>318</v>
      </c>
      <c r="K58" s="22" t="s">
        <v>319</v>
      </c>
      <c r="L58" s="21" t="s">
        <v>558</v>
      </c>
      <c r="M58" s="21" t="s">
        <v>66</v>
      </c>
      <c r="N58" s="21" t="s">
        <v>67</v>
      </c>
      <c r="O58" s="21" t="s">
        <v>320</v>
      </c>
      <c r="P58" s="21" t="s">
        <v>321</v>
      </c>
      <c r="Q58" s="22"/>
    </row>
    <row r="59" spans="1:17" ht="100.8" x14ac:dyDescent="0.3">
      <c r="A59" s="6" t="s">
        <v>322</v>
      </c>
      <c r="B59" s="6" t="s">
        <v>323</v>
      </c>
      <c r="C59" s="6"/>
      <c r="D59" s="6" t="s">
        <v>269</v>
      </c>
      <c r="E59" s="6" t="s">
        <v>270</v>
      </c>
      <c r="F59" s="24">
        <f t="shared" si="0"/>
        <v>1</v>
      </c>
      <c r="G59" s="6"/>
      <c r="H59" s="6" t="s">
        <v>324</v>
      </c>
      <c r="I59" s="6" t="s">
        <v>325</v>
      </c>
      <c r="J59" s="6" t="s">
        <v>326</v>
      </c>
      <c r="K59" s="8" t="s">
        <v>327</v>
      </c>
      <c r="L59" s="6" t="s">
        <v>559</v>
      </c>
      <c r="M59" s="6" t="s">
        <v>66</v>
      </c>
      <c r="N59" s="6" t="s">
        <v>328</v>
      </c>
      <c r="O59" s="6" t="s">
        <v>329</v>
      </c>
      <c r="P59" s="6" t="s">
        <v>330</v>
      </c>
      <c r="Q59" s="8"/>
    </row>
    <row r="60" spans="1:17" s="2" customFormat="1" ht="158.4" x14ac:dyDescent="0.3">
      <c r="A60" s="9" t="s">
        <v>331</v>
      </c>
      <c r="B60" s="10" t="s">
        <v>332</v>
      </c>
      <c r="C60" s="9"/>
      <c r="D60" s="9" t="s">
        <v>777</v>
      </c>
      <c r="E60" s="9" t="s">
        <v>140</v>
      </c>
      <c r="F60" s="24">
        <f t="shared" si="0"/>
        <v>0</v>
      </c>
      <c r="G60" s="9" t="s">
        <v>778</v>
      </c>
      <c r="H60" s="9" t="s">
        <v>140</v>
      </c>
      <c r="I60" s="9" t="s">
        <v>325</v>
      </c>
      <c r="J60" s="9" t="s">
        <v>333</v>
      </c>
      <c r="K60" s="11" t="s">
        <v>334</v>
      </c>
      <c r="L60" s="9" t="s">
        <v>560</v>
      </c>
      <c r="M60" s="9" t="s">
        <v>335</v>
      </c>
      <c r="N60" s="9" t="s">
        <v>336</v>
      </c>
      <c r="O60" s="9" t="s">
        <v>337</v>
      </c>
      <c r="P60" s="9" t="s">
        <v>338</v>
      </c>
      <c r="Q60" s="11"/>
    </row>
    <row r="61" spans="1:17" s="2" customFormat="1" ht="72" x14ac:dyDescent="0.3">
      <c r="A61" s="9" t="s">
        <v>339</v>
      </c>
      <c r="B61" s="10" t="s">
        <v>340</v>
      </c>
      <c r="C61" s="9"/>
      <c r="D61" s="9" t="s">
        <v>779</v>
      </c>
      <c r="E61" s="9" t="s">
        <v>16</v>
      </c>
      <c r="F61" s="24">
        <f t="shared" si="0"/>
        <v>0</v>
      </c>
      <c r="G61" s="9" t="s">
        <v>780</v>
      </c>
      <c r="H61" s="9" t="s">
        <v>16</v>
      </c>
      <c r="I61" s="9" t="s">
        <v>341</v>
      </c>
      <c r="J61" s="9" t="s">
        <v>16</v>
      </c>
      <c r="K61" s="11" t="s">
        <v>342</v>
      </c>
      <c r="L61" s="9" t="s">
        <v>561</v>
      </c>
      <c r="M61" s="9" t="s">
        <v>20</v>
      </c>
      <c r="N61" s="9"/>
      <c r="O61" s="9" t="s">
        <v>343</v>
      </c>
      <c r="P61" s="9"/>
      <c r="Q61" s="11"/>
    </row>
    <row r="62" spans="1:17" s="2" customFormat="1" ht="216" x14ac:dyDescent="0.3">
      <c r="A62" s="9" t="s">
        <v>344</v>
      </c>
      <c r="B62" s="10" t="s">
        <v>345</v>
      </c>
      <c r="C62" s="9"/>
      <c r="D62" s="9" t="s">
        <v>269</v>
      </c>
      <c r="E62" s="9" t="s">
        <v>270</v>
      </c>
      <c r="F62" s="24">
        <f t="shared" si="0"/>
        <v>1</v>
      </c>
      <c r="G62" s="9" t="s">
        <v>781</v>
      </c>
      <c r="H62" s="9" t="s">
        <v>16</v>
      </c>
      <c r="I62" s="9" t="s">
        <v>346</v>
      </c>
      <c r="J62" s="9" t="s">
        <v>16</v>
      </c>
      <c r="K62" s="11" t="s">
        <v>347</v>
      </c>
      <c r="L62" s="9" t="s">
        <v>562</v>
      </c>
      <c r="M62" s="9" t="s">
        <v>20</v>
      </c>
      <c r="N62" s="9"/>
      <c r="O62" s="9" t="s">
        <v>348</v>
      </c>
      <c r="P62" s="9"/>
      <c r="Q62" s="11"/>
    </row>
    <row r="63" spans="1:17" s="2" customFormat="1" ht="187.2" x14ac:dyDescent="0.3">
      <c r="A63" s="9" t="s">
        <v>349</v>
      </c>
      <c r="B63" s="10" t="s">
        <v>350</v>
      </c>
      <c r="C63" s="9"/>
      <c r="D63" s="9" t="s">
        <v>38</v>
      </c>
      <c r="E63" s="9" t="s">
        <v>39</v>
      </c>
      <c r="F63" s="24">
        <f t="shared" si="0"/>
        <v>1</v>
      </c>
      <c r="G63" s="9" t="s">
        <v>782</v>
      </c>
      <c r="H63" s="9" t="s">
        <v>16</v>
      </c>
      <c r="I63" s="9" t="s">
        <v>17</v>
      </c>
      <c r="J63" s="9" t="s">
        <v>351</v>
      </c>
      <c r="K63" s="11" t="s">
        <v>352</v>
      </c>
      <c r="L63" s="9" t="s">
        <v>563</v>
      </c>
      <c r="M63" s="9" t="s">
        <v>20</v>
      </c>
      <c r="N63" s="9" t="s">
        <v>115</v>
      </c>
      <c r="O63" s="9" t="s">
        <v>353</v>
      </c>
      <c r="P63" s="9" t="s">
        <v>354</v>
      </c>
      <c r="Q63" s="11"/>
    </row>
    <row r="64" spans="1:17" s="2" customFormat="1" ht="230.4" x14ac:dyDescent="0.3">
      <c r="A64" s="9" t="s">
        <v>355</v>
      </c>
      <c r="B64" s="10" t="s">
        <v>356</v>
      </c>
      <c r="C64" s="9"/>
      <c r="D64" s="9" t="s">
        <v>38</v>
      </c>
      <c r="E64" s="9" t="s">
        <v>39</v>
      </c>
      <c r="F64" s="24">
        <f t="shared" si="0"/>
        <v>1</v>
      </c>
      <c r="G64" s="9" t="s">
        <v>783</v>
      </c>
      <c r="H64" s="9" t="s">
        <v>16</v>
      </c>
      <c r="I64" s="9" t="s">
        <v>357</v>
      </c>
      <c r="J64" s="9" t="s">
        <v>16</v>
      </c>
      <c r="K64" s="11" t="s">
        <v>358</v>
      </c>
      <c r="L64" s="9" t="s">
        <v>564</v>
      </c>
      <c r="M64" s="9" t="s">
        <v>43</v>
      </c>
      <c r="N64" s="9" t="s">
        <v>57</v>
      </c>
      <c r="O64" s="9" t="s">
        <v>359</v>
      </c>
      <c r="P64" s="9" t="s">
        <v>360</v>
      </c>
      <c r="Q64" s="11"/>
    </row>
    <row r="65" spans="1:17" ht="72" x14ac:dyDescent="0.3">
      <c r="A65" s="6" t="s">
        <v>361</v>
      </c>
      <c r="B65" s="6" t="s">
        <v>362</v>
      </c>
      <c r="C65" s="6"/>
      <c r="D65" s="6" t="s">
        <v>38</v>
      </c>
      <c r="E65" s="6" t="s">
        <v>39</v>
      </c>
      <c r="F65" s="24">
        <f t="shared" si="0"/>
        <v>1</v>
      </c>
      <c r="G65" s="6"/>
      <c r="H65" s="6" t="s">
        <v>363</v>
      </c>
      <c r="I65" s="6" t="s">
        <v>17</v>
      </c>
      <c r="J65" s="6" t="s">
        <v>41</v>
      </c>
      <c r="K65" s="8" t="s">
        <v>364</v>
      </c>
      <c r="L65" s="6" t="s">
        <v>565</v>
      </c>
      <c r="M65" s="6" t="s">
        <v>43</v>
      </c>
      <c r="N65" s="6"/>
      <c r="O65" s="6" t="s">
        <v>365</v>
      </c>
      <c r="P65" s="6"/>
      <c r="Q65" s="8"/>
    </row>
    <row r="66" spans="1:17" ht="72" x14ac:dyDescent="0.3">
      <c r="A66" s="6" t="s">
        <v>366</v>
      </c>
      <c r="B66" s="6" t="s">
        <v>367</v>
      </c>
      <c r="C66" s="6"/>
      <c r="D66" s="6" t="s">
        <v>368</v>
      </c>
      <c r="E66" s="6" t="s">
        <v>369</v>
      </c>
      <c r="F66" s="24">
        <f t="shared" si="0"/>
        <v>0</v>
      </c>
      <c r="G66" s="6"/>
      <c r="H66" s="6" t="s">
        <v>370</v>
      </c>
      <c r="I66" s="6" t="s">
        <v>17</v>
      </c>
      <c r="J66" s="6" t="s">
        <v>371</v>
      </c>
      <c r="K66" s="8" t="s">
        <v>372</v>
      </c>
      <c r="L66" s="6" t="s">
        <v>566</v>
      </c>
      <c r="M66" s="6" t="s">
        <v>43</v>
      </c>
      <c r="N66" s="6" t="s">
        <v>373</v>
      </c>
      <c r="O66" s="6" t="s">
        <v>374</v>
      </c>
      <c r="P66" s="6" t="s">
        <v>375</v>
      </c>
      <c r="Q66" s="8"/>
    </row>
    <row r="67" spans="1:17" ht="72" x14ac:dyDescent="0.3">
      <c r="A67" s="6" t="s">
        <v>376</v>
      </c>
      <c r="B67" s="6" t="s">
        <v>377</v>
      </c>
      <c r="C67" s="6"/>
      <c r="D67" s="6" t="s">
        <v>38</v>
      </c>
      <c r="E67" s="6" t="s">
        <v>39</v>
      </c>
      <c r="F67" s="24">
        <f t="shared" ref="F67:F113" si="1">IF(AND(
TRIM(CLEAN(SUBSTITUTE(D67,CHAR(10)," ")))="Софийски университет ""Св. Климент Охридски""",
TRIM(CLEAN(E67))="Физически Факултет"
),1,0)</f>
        <v>1</v>
      </c>
      <c r="G67" s="6"/>
      <c r="H67" s="6" t="s">
        <v>363</v>
      </c>
      <c r="I67" s="6" t="s">
        <v>17</v>
      </c>
      <c r="J67" s="6" t="s">
        <v>41</v>
      </c>
      <c r="K67" s="8" t="s">
        <v>378</v>
      </c>
      <c r="L67" s="6" t="s">
        <v>567</v>
      </c>
      <c r="M67" s="6" t="s">
        <v>43</v>
      </c>
      <c r="N67" s="6" t="s">
        <v>57</v>
      </c>
      <c r="O67" s="6" t="s">
        <v>379</v>
      </c>
      <c r="P67" s="6" t="s">
        <v>380</v>
      </c>
      <c r="Q67" s="8"/>
    </row>
    <row r="68" spans="1:17" ht="72" x14ac:dyDescent="0.3">
      <c r="A68" s="6" t="s">
        <v>381</v>
      </c>
      <c r="B68" s="6" t="s">
        <v>382</v>
      </c>
      <c r="C68" s="6"/>
      <c r="D68" s="6" t="s">
        <v>38</v>
      </c>
      <c r="E68" s="6" t="s">
        <v>39</v>
      </c>
      <c r="F68" s="24">
        <f t="shared" si="1"/>
        <v>1</v>
      </c>
      <c r="G68" s="6"/>
      <c r="H68" s="6" t="s">
        <v>363</v>
      </c>
      <c r="I68" s="6" t="s">
        <v>17</v>
      </c>
      <c r="J68" s="6" t="s">
        <v>41</v>
      </c>
      <c r="K68" s="8" t="s">
        <v>383</v>
      </c>
      <c r="L68" s="6" t="s">
        <v>568</v>
      </c>
      <c r="M68" s="6" t="s">
        <v>57</v>
      </c>
      <c r="N68" s="6"/>
      <c r="O68" s="6" t="s">
        <v>384</v>
      </c>
      <c r="P68" s="6"/>
      <c r="Q68" s="8"/>
    </row>
    <row r="69" spans="1:17" s="4" customFormat="1" ht="72" x14ac:dyDescent="0.3">
      <c r="A69" s="21" t="s">
        <v>385</v>
      </c>
      <c r="B69" s="29" t="s">
        <v>386</v>
      </c>
      <c r="C69" s="21"/>
      <c r="D69" s="6" t="s">
        <v>38</v>
      </c>
      <c r="E69" s="6" t="s">
        <v>39</v>
      </c>
      <c r="F69" s="24">
        <f t="shared" si="1"/>
        <v>1</v>
      </c>
      <c r="G69" s="21"/>
      <c r="H69" s="21"/>
      <c r="I69" s="21"/>
      <c r="J69" s="21"/>
      <c r="K69" s="22"/>
      <c r="L69" s="21"/>
      <c r="M69" s="21" t="s">
        <v>57</v>
      </c>
      <c r="N69" s="21"/>
      <c r="O69" s="21" t="s">
        <v>387</v>
      </c>
      <c r="P69" s="21"/>
      <c r="Q69" s="22"/>
    </row>
    <row r="70" spans="1:17" s="4" customFormat="1" ht="72" x14ac:dyDescent="0.3">
      <c r="A70" s="21" t="s">
        <v>388</v>
      </c>
      <c r="B70" s="29" t="s">
        <v>389</v>
      </c>
      <c r="C70" s="21"/>
      <c r="D70" s="6" t="s">
        <v>38</v>
      </c>
      <c r="E70" s="6" t="s">
        <v>39</v>
      </c>
      <c r="F70" s="24">
        <f t="shared" si="1"/>
        <v>1</v>
      </c>
      <c r="G70" s="21"/>
      <c r="H70" s="21"/>
      <c r="I70" s="21"/>
      <c r="J70" s="21"/>
      <c r="K70" s="22"/>
      <c r="L70" s="21"/>
      <c r="M70" s="21" t="s">
        <v>57</v>
      </c>
      <c r="N70" s="21"/>
      <c r="O70" s="21" t="s">
        <v>390</v>
      </c>
      <c r="P70" s="21"/>
      <c r="Q70" s="22"/>
    </row>
    <row r="71" spans="1:17" s="2" customFormat="1" ht="259.2" x14ac:dyDescent="0.3">
      <c r="A71" s="9" t="s">
        <v>391</v>
      </c>
      <c r="B71" s="10" t="s">
        <v>392</v>
      </c>
      <c r="C71" s="9"/>
      <c r="D71" s="9" t="s">
        <v>38</v>
      </c>
      <c r="E71" s="9" t="s">
        <v>39</v>
      </c>
      <c r="F71" s="24">
        <f t="shared" si="1"/>
        <v>1</v>
      </c>
      <c r="G71" s="9" t="s">
        <v>786</v>
      </c>
      <c r="H71" s="9" t="s">
        <v>16</v>
      </c>
      <c r="I71" s="9" t="s">
        <v>17</v>
      </c>
      <c r="J71" s="9" t="s">
        <v>301</v>
      </c>
      <c r="K71" s="11" t="s">
        <v>393</v>
      </c>
      <c r="L71" s="9" t="s">
        <v>569</v>
      </c>
      <c r="M71" s="9" t="s">
        <v>20</v>
      </c>
      <c r="N71" s="9"/>
      <c r="O71" s="9" t="s">
        <v>394</v>
      </c>
      <c r="P71" s="9"/>
      <c r="Q71" s="11"/>
    </row>
    <row r="72" spans="1:17" s="2" customFormat="1" ht="158.4" x14ac:dyDescent="0.3">
      <c r="A72" s="9" t="s">
        <v>395</v>
      </c>
      <c r="B72" s="10" t="s">
        <v>396</v>
      </c>
      <c r="C72" s="10" t="s">
        <v>787</v>
      </c>
      <c r="D72" s="9" t="s">
        <v>38</v>
      </c>
      <c r="E72" s="9" t="s">
        <v>39</v>
      </c>
      <c r="F72" s="24">
        <f t="shared" si="1"/>
        <v>1</v>
      </c>
      <c r="G72" s="9" t="s">
        <v>788</v>
      </c>
      <c r="H72" s="9" t="s">
        <v>16</v>
      </c>
      <c r="I72" s="9" t="s">
        <v>17</v>
      </c>
      <c r="J72" s="9" t="s">
        <v>312</v>
      </c>
      <c r="K72" s="11" t="s">
        <v>397</v>
      </c>
      <c r="L72" s="9" t="s">
        <v>570</v>
      </c>
      <c r="M72" s="9" t="s">
        <v>20</v>
      </c>
      <c r="N72" s="9" t="s">
        <v>398</v>
      </c>
      <c r="O72" s="9" t="s">
        <v>399</v>
      </c>
      <c r="P72" s="9" t="s">
        <v>400</v>
      </c>
      <c r="Q72" s="11"/>
    </row>
    <row r="73" spans="1:17" s="2" customFormat="1" ht="129.6" x14ac:dyDescent="0.3">
      <c r="A73" s="9" t="s">
        <v>401</v>
      </c>
      <c r="B73" s="10" t="s">
        <v>402</v>
      </c>
      <c r="C73" s="9"/>
      <c r="D73" s="9" t="s">
        <v>38</v>
      </c>
      <c r="E73" s="9" t="s">
        <v>39</v>
      </c>
      <c r="F73" s="24">
        <f t="shared" si="1"/>
        <v>1</v>
      </c>
      <c r="G73" s="9" t="s">
        <v>789</v>
      </c>
      <c r="H73" s="9" t="s">
        <v>16</v>
      </c>
      <c r="I73" s="9" t="s">
        <v>17</v>
      </c>
      <c r="J73" s="9" t="s">
        <v>403</v>
      </c>
      <c r="K73" s="11" t="s">
        <v>404</v>
      </c>
      <c r="L73" s="9" t="s">
        <v>571</v>
      </c>
      <c r="M73" s="9" t="s">
        <v>20</v>
      </c>
      <c r="N73" s="9" t="s">
        <v>398</v>
      </c>
      <c r="O73" s="9" t="s">
        <v>405</v>
      </c>
      <c r="P73" s="9" t="s">
        <v>406</v>
      </c>
      <c r="Q73" s="11"/>
    </row>
    <row r="74" spans="1:17" s="2" customFormat="1" ht="230.4" x14ac:dyDescent="0.3">
      <c r="A74" s="9" t="s">
        <v>407</v>
      </c>
      <c r="B74" s="10" t="s">
        <v>408</v>
      </c>
      <c r="C74" s="9"/>
      <c r="D74" s="9" t="s">
        <v>38</v>
      </c>
      <c r="E74" s="9" t="s">
        <v>39</v>
      </c>
      <c r="F74" s="24">
        <f t="shared" si="1"/>
        <v>1</v>
      </c>
      <c r="G74" s="9" t="s">
        <v>790</v>
      </c>
      <c r="H74" s="9" t="s">
        <v>16</v>
      </c>
      <c r="I74" s="9" t="s">
        <v>17</v>
      </c>
      <c r="J74" s="9" t="s">
        <v>301</v>
      </c>
      <c r="K74" s="11" t="s">
        <v>409</v>
      </c>
      <c r="L74" s="9" t="s">
        <v>572</v>
      </c>
      <c r="M74" s="9" t="s">
        <v>20</v>
      </c>
      <c r="N74" s="9" t="s">
        <v>57</v>
      </c>
      <c r="O74" s="9" t="s">
        <v>410</v>
      </c>
      <c r="P74" s="9" t="s">
        <v>411</v>
      </c>
      <c r="Q74" s="11"/>
    </row>
    <row r="75" spans="1:17" s="2" customFormat="1" ht="230.4" x14ac:dyDescent="0.3">
      <c r="A75" s="9" t="s">
        <v>412</v>
      </c>
      <c r="B75" s="10" t="s">
        <v>413</v>
      </c>
      <c r="C75" s="9"/>
      <c r="D75" s="9" t="s">
        <v>38</v>
      </c>
      <c r="E75" s="9" t="s">
        <v>39</v>
      </c>
      <c r="F75" s="24">
        <f t="shared" si="1"/>
        <v>1</v>
      </c>
      <c r="G75" s="9" t="s">
        <v>791</v>
      </c>
      <c r="H75" s="9" t="s">
        <v>16</v>
      </c>
      <c r="I75" s="9" t="s">
        <v>17</v>
      </c>
      <c r="J75" s="9" t="s">
        <v>301</v>
      </c>
      <c r="K75" s="11" t="s">
        <v>192</v>
      </c>
      <c r="L75" s="9" t="s">
        <v>573</v>
      </c>
      <c r="M75" s="9" t="s">
        <v>20</v>
      </c>
      <c r="N75" s="9" t="s">
        <v>57</v>
      </c>
      <c r="O75" s="9" t="s">
        <v>414</v>
      </c>
      <c r="P75" s="9" t="s">
        <v>415</v>
      </c>
      <c r="Q75" s="11"/>
    </row>
    <row r="76" spans="1:17" ht="72" x14ac:dyDescent="0.3">
      <c r="A76" s="6" t="s">
        <v>416</v>
      </c>
      <c r="B76" s="6" t="s">
        <v>417</v>
      </c>
      <c r="C76" s="6"/>
      <c r="D76" s="6" t="s">
        <v>592</v>
      </c>
      <c r="E76" s="6"/>
      <c r="F76" s="24">
        <f t="shared" si="1"/>
        <v>0</v>
      </c>
      <c r="G76" s="6"/>
      <c r="H76" s="6" t="s">
        <v>16</v>
      </c>
      <c r="I76" s="6" t="s">
        <v>17</v>
      </c>
      <c r="J76" s="6" t="s">
        <v>419</v>
      </c>
      <c r="K76" s="8" t="s">
        <v>420</v>
      </c>
      <c r="L76" s="6" t="s">
        <v>574</v>
      </c>
      <c r="M76" s="6" t="s">
        <v>20</v>
      </c>
      <c r="N76" s="6" t="s">
        <v>421</v>
      </c>
      <c r="O76" s="6" t="s">
        <v>422</v>
      </c>
      <c r="P76" s="6" t="s">
        <v>423</v>
      </c>
      <c r="Q76" s="8"/>
    </row>
    <row r="77" spans="1:17" ht="72" x14ac:dyDescent="0.3">
      <c r="A77" s="6" t="s">
        <v>424</v>
      </c>
      <c r="B77" s="6" t="s">
        <v>425</v>
      </c>
      <c r="C77" s="6"/>
      <c r="D77" s="6" t="s">
        <v>38</v>
      </c>
      <c r="E77" s="6" t="s">
        <v>39</v>
      </c>
      <c r="F77" s="24">
        <f t="shared" si="1"/>
        <v>1</v>
      </c>
      <c r="G77" s="6"/>
      <c r="H77" s="6" t="s">
        <v>426</v>
      </c>
      <c r="I77" s="6" t="s">
        <v>17</v>
      </c>
      <c r="J77" s="6" t="s">
        <v>41</v>
      </c>
      <c r="K77" s="8" t="s">
        <v>427</v>
      </c>
      <c r="L77" s="6" t="s">
        <v>575</v>
      </c>
      <c r="M77" s="6" t="s">
        <v>43</v>
      </c>
      <c r="N77" s="6" t="s">
        <v>57</v>
      </c>
      <c r="O77" s="6" t="s">
        <v>428</v>
      </c>
      <c r="P77" s="6" t="s">
        <v>429</v>
      </c>
      <c r="Q77" s="8"/>
    </row>
    <row r="78" spans="1:17" ht="72" x14ac:dyDescent="0.3">
      <c r="A78" s="6" t="s">
        <v>430</v>
      </c>
      <c r="B78" s="6" t="s">
        <v>431</v>
      </c>
      <c r="C78" s="6"/>
      <c r="D78" s="6" t="s">
        <v>38</v>
      </c>
      <c r="E78" s="6" t="s">
        <v>39</v>
      </c>
      <c r="F78" s="24">
        <f t="shared" si="1"/>
        <v>1</v>
      </c>
      <c r="G78" s="6"/>
      <c r="H78" s="6" t="s">
        <v>426</v>
      </c>
      <c r="I78" s="6" t="s">
        <v>17</v>
      </c>
      <c r="J78" s="6" t="s">
        <v>41</v>
      </c>
      <c r="K78" s="8" t="s">
        <v>432</v>
      </c>
      <c r="L78" s="6" t="s">
        <v>576</v>
      </c>
      <c r="M78" s="6" t="s">
        <v>43</v>
      </c>
      <c r="N78" s="6" t="s">
        <v>57</v>
      </c>
      <c r="O78" s="6" t="s">
        <v>122</v>
      </c>
      <c r="P78" s="6" t="s">
        <v>433</v>
      </c>
      <c r="Q78" s="8"/>
    </row>
    <row r="79" spans="1:17" ht="72" x14ac:dyDescent="0.3">
      <c r="A79" s="6" t="s">
        <v>434</v>
      </c>
      <c r="B79" s="7" t="s">
        <v>435</v>
      </c>
      <c r="C79" s="6"/>
      <c r="D79" s="6" t="s">
        <v>38</v>
      </c>
      <c r="E79" s="6" t="s">
        <v>39</v>
      </c>
      <c r="F79" s="24">
        <f t="shared" si="1"/>
        <v>1</v>
      </c>
      <c r="G79" s="6"/>
      <c r="H79" s="6"/>
      <c r="I79" s="6"/>
      <c r="J79" s="6"/>
      <c r="K79" s="8"/>
      <c r="L79" s="6"/>
      <c r="M79" s="6" t="s">
        <v>57</v>
      </c>
      <c r="N79" s="6"/>
      <c r="O79" s="6" t="s">
        <v>436</v>
      </c>
      <c r="P79" s="6"/>
      <c r="Q79" s="8"/>
    </row>
    <row r="80" spans="1:17" ht="72" x14ac:dyDescent="0.3">
      <c r="A80" s="6" t="s">
        <v>437</v>
      </c>
      <c r="B80" s="6" t="s">
        <v>438</v>
      </c>
      <c r="C80" s="6"/>
      <c r="D80" s="6" t="s">
        <v>38</v>
      </c>
      <c r="E80" s="6" t="s">
        <v>39</v>
      </c>
      <c r="F80" s="24">
        <f t="shared" si="1"/>
        <v>1</v>
      </c>
      <c r="G80" s="6"/>
      <c r="H80" s="6" t="s">
        <v>245</v>
      </c>
      <c r="I80" s="6" t="s">
        <v>17</v>
      </c>
      <c r="J80" s="6" t="s">
        <v>41</v>
      </c>
      <c r="K80" s="8" t="s">
        <v>246</v>
      </c>
      <c r="L80" s="6" t="s">
        <v>577</v>
      </c>
      <c r="M80" s="6" t="s">
        <v>20</v>
      </c>
      <c r="N80" s="6" t="s">
        <v>43</v>
      </c>
      <c r="O80" s="6" t="s">
        <v>439</v>
      </c>
      <c r="P80" s="6" t="s">
        <v>440</v>
      </c>
      <c r="Q80" s="8"/>
    </row>
    <row r="81" spans="1:17" s="2" customFormat="1" ht="168" customHeight="1" x14ac:dyDescent="0.3">
      <c r="A81" s="9" t="s">
        <v>441</v>
      </c>
      <c r="B81" s="10" t="s">
        <v>442</v>
      </c>
      <c r="C81" s="9" t="s">
        <v>792</v>
      </c>
      <c r="D81" s="9" t="s">
        <v>38</v>
      </c>
      <c r="E81" s="9" t="s">
        <v>39</v>
      </c>
      <c r="F81" s="24">
        <f t="shared" si="1"/>
        <v>1</v>
      </c>
      <c r="G81" s="9" t="s">
        <v>793</v>
      </c>
      <c r="H81" s="9" t="s">
        <v>140</v>
      </c>
      <c r="I81" s="9" t="s">
        <v>443</v>
      </c>
      <c r="J81" s="9" t="s">
        <v>444</v>
      </c>
      <c r="K81" s="15">
        <v>34628</v>
      </c>
      <c r="L81" s="9" t="s">
        <v>578</v>
      </c>
      <c r="M81" s="9" t="s">
        <v>66</v>
      </c>
      <c r="N81" s="9" t="s">
        <v>141</v>
      </c>
      <c r="O81" s="9" t="s">
        <v>445</v>
      </c>
      <c r="P81" s="9" t="s">
        <v>446</v>
      </c>
      <c r="Q81" s="11"/>
    </row>
    <row r="82" spans="1:17" s="2" customFormat="1" ht="237.6" customHeight="1" x14ac:dyDescent="0.3">
      <c r="A82" s="9" t="s">
        <v>447</v>
      </c>
      <c r="B82" s="10" t="s">
        <v>448</v>
      </c>
      <c r="C82" s="9"/>
      <c r="D82" s="9" t="s">
        <v>38</v>
      </c>
      <c r="E82" s="9" t="s">
        <v>39</v>
      </c>
      <c r="F82" s="24">
        <f t="shared" si="1"/>
        <v>1</v>
      </c>
      <c r="G82" s="9" t="s">
        <v>794</v>
      </c>
      <c r="H82" s="9" t="s">
        <v>140</v>
      </c>
      <c r="I82" s="9" t="s">
        <v>598</v>
      </c>
      <c r="J82" s="9" t="s">
        <v>449</v>
      </c>
      <c r="K82" s="11" t="s">
        <v>450</v>
      </c>
      <c r="L82" s="9" t="s">
        <v>579</v>
      </c>
      <c r="M82" s="9" t="s">
        <v>451</v>
      </c>
      <c r="N82" s="9" t="s">
        <v>452</v>
      </c>
      <c r="O82" s="9" t="s">
        <v>453</v>
      </c>
      <c r="P82" s="9" t="s">
        <v>454</v>
      </c>
      <c r="Q82" s="11"/>
    </row>
    <row r="83" spans="1:17" ht="172.8" x14ac:dyDescent="0.3">
      <c r="A83" s="6" t="s">
        <v>455</v>
      </c>
      <c r="B83" s="7" t="s">
        <v>456</v>
      </c>
      <c r="C83" s="7"/>
      <c r="D83" s="6" t="s">
        <v>592</v>
      </c>
      <c r="E83" s="6" t="s">
        <v>140</v>
      </c>
      <c r="F83" s="24">
        <f t="shared" si="1"/>
        <v>0</v>
      </c>
      <c r="G83" s="6"/>
      <c r="H83" s="6" t="s">
        <v>140</v>
      </c>
      <c r="I83" s="6" t="s">
        <v>457</v>
      </c>
      <c r="J83" s="6" t="s">
        <v>458</v>
      </c>
      <c r="K83" s="8" t="s">
        <v>459</v>
      </c>
      <c r="L83" s="6" t="s">
        <v>580</v>
      </c>
      <c r="M83" s="6" t="s">
        <v>66</v>
      </c>
      <c r="N83" s="6" t="s">
        <v>460</v>
      </c>
      <c r="O83" s="6" t="s">
        <v>461</v>
      </c>
      <c r="P83" s="6" t="s">
        <v>462</v>
      </c>
      <c r="Q83" s="8"/>
    </row>
    <row r="84" spans="1:17" ht="187.2" x14ac:dyDescent="0.3">
      <c r="A84" s="6" t="s">
        <v>463</v>
      </c>
      <c r="B84" s="7" t="s">
        <v>464</v>
      </c>
      <c r="C84" s="7"/>
      <c r="D84" s="6" t="s">
        <v>38</v>
      </c>
      <c r="E84" s="6" t="s">
        <v>270</v>
      </c>
      <c r="F84" s="24">
        <f t="shared" si="1"/>
        <v>1</v>
      </c>
      <c r="G84" s="6"/>
      <c r="H84" s="6" t="s">
        <v>465</v>
      </c>
      <c r="I84" s="6" t="s">
        <v>325</v>
      </c>
      <c r="J84" s="6" t="s">
        <v>466</v>
      </c>
      <c r="K84" s="8" t="s">
        <v>467</v>
      </c>
      <c r="L84" s="6" t="s">
        <v>581</v>
      </c>
      <c r="M84" s="6" t="s">
        <v>20</v>
      </c>
      <c r="N84" s="6" t="s">
        <v>43</v>
      </c>
      <c r="O84" s="6" t="s">
        <v>468</v>
      </c>
      <c r="P84" s="6" t="s">
        <v>469</v>
      </c>
      <c r="Q84" s="8"/>
    </row>
    <row r="85" spans="1:17" ht="187.2" x14ac:dyDescent="0.3">
      <c r="A85" s="6" t="s">
        <v>470</v>
      </c>
      <c r="B85" s="6" t="s">
        <v>471</v>
      </c>
      <c r="C85" s="6"/>
      <c r="D85" s="6" t="s">
        <v>38</v>
      </c>
      <c r="E85" s="6" t="s">
        <v>270</v>
      </c>
      <c r="F85" s="24">
        <f t="shared" si="1"/>
        <v>1</v>
      </c>
      <c r="G85" s="6"/>
      <c r="H85" s="6" t="s">
        <v>465</v>
      </c>
      <c r="I85" s="6" t="s">
        <v>325</v>
      </c>
      <c r="J85" s="6" t="s">
        <v>466</v>
      </c>
      <c r="K85" s="8" t="s">
        <v>472</v>
      </c>
      <c r="L85" s="6" t="s">
        <v>582</v>
      </c>
      <c r="M85" s="6" t="s">
        <v>20</v>
      </c>
      <c r="N85" s="6" t="s">
        <v>57</v>
      </c>
      <c r="O85" s="6" t="s">
        <v>473</v>
      </c>
      <c r="P85" s="6" t="s">
        <v>474</v>
      </c>
      <c r="Q85" s="8"/>
    </row>
    <row r="86" spans="1:17" s="2" customFormat="1" ht="86.4" x14ac:dyDescent="0.3">
      <c r="A86" s="9" t="s">
        <v>475</v>
      </c>
      <c r="B86" s="10" t="s">
        <v>476</v>
      </c>
      <c r="C86" s="9"/>
      <c r="D86" s="9" t="s">
        <v>38</v>
      </c>
      <c r="E86" s="9" t="s">
        <v>270</v>
      </c>
      <c r="F86" s="24">
        <f t="shared" si="1"/>
        <v>1</v>
      </c>
      <c r="G86" s="9" t="s">
        <v>795</v>
      </c>
      <c r="H86" s="9" t="s">
        <v>16</v>
      </c>
      <c r="I86" s="9" t="s">
        <v>477</v>
      </c>
      <c r="J86" s="9" t="s">
        <v>41</v>
      </c>
      <c r="K86" s="11" t="s">
        <v>478</v>
      </c>
      <c r="L86" s="9" t="s">
        <v>583</v>
      </c>
      <c r="M86" s="9" t="s">
        <v>20</v>
      </c>
      <c r="N86" s="9" t="s">
        <v>479</v>
      </c>
      <c r="O86" s="9" t="s">
        <v>480</v>
      </c>
      <c r="P86" s="9" t="s">
        <v>481</v>
      </c>
      <c r="Q86" s="11"/>
    </row>
    <row r="87" spans="1:17" s="2" customFormat="1" ht="72" x14ac:dyDescent="0.3">
      <c r="A87" s="18" t="s">
        <v>482</v>
      </c>
      <c r="B87" s="19" t="s">
        <v>483</v>
      </c>
      <c r="C87" s="19" t="s">
        <v>796</v>
      </c>
      <c r="D87" s="18" t="s">
        <v>797</v>
      </c>
      <c r="E87" s="18" t="s">
        <v>798</v>
      </c>
      <c r="F87" s="32" t="s">
        <v>816</v>
      </c>
      <c r="G87" s="18"/>
      <c r="H87" s="18" t="s">
        <v>16</v>
      </c>
      <c r="I87" s="18" t="s">
        <v>17</v>
      </c>
      <c r="J87" s="18" t="s">
        <v>16</v>
      </c>
      <c r="K87" s="20" t="s">
        <v>484</v>
      </c>
      <c r="L87" s="18" t="s">
        <v>584</v>
      </c>
      <c r="M87" s="18" t="s">
        <v>20</v>
      </c>
      <c r="N87" s="18" t="s">
        <v>67</v>
      </c>
      <c r="O87" s="18" t="s">
        <v>485</v>
      </c>
      <c r="P87" s="18" t="s">
        <v>69</v>
      </c>
      <c r="Q87" s="20"/>
    </row>
    <row r="88" spans="1:17" s="2" customFormat="1" ht="144" x14ac:dyDescent="0.3">
      <c r="A88" s="9" t="s">
        <v>486</v>
      </c>
      <c r="B88" s="10" t="s">
        <v>487</v>
      </c>
      <c r="C88" s="9" t="s">
        <v>799</v>
      </c>
      <c r="D88" s="9" t="s">
        <v>800</v>
      </c>
      <c r="E88" s="9" t="s">
        <v>16</v>
      </c>
      <c r="F88" s="24">
        <f t="shared" si="1"/>
        <v>0</v>
      </c>
      <c r="G88" s="9" t="s">
        <v>801</v>
      </c>
      <c r="H88" s="9" t="s">
        <v>16</v>
      </c>
      <c r="I88" s="9" t="s">
        <v>201</v>
      </c>
      <c r="J88" s="9" t="s">
        <v>16</v>
      </c>
      <c r="K88" s="11" t="s">
        <v>95</v>
      </c>
      <c r="L88" s="9" t="s">
        <v>585</v>
      </c>
      <c r="M88" s="9" t="s">
        <v>20</v>
      </c>
      <c r="N88" s="9"/>
      <c r="O88" s="9" t="s">
        <v>488</v>
      </c>
      <c r="P88" s="9"/>
      <c r="Q88" s="11"/>
    </row>
    <row r="89" spans="1:17" ht="172.8" x14ac:dyDescent="0.3">
      <c r="A89" s="6" t="s">
        <v>489</v>
      </c>
      <c r="B89" s="6" t="s">
        <v>490</v>
      </c>
      <c r="C89" s="6"/>
      <c r="D89" s="6" t="s">
        <v>38</v>
      </c>
      <c r="E89" s="6" t="s">
        <v>39</v>
      </c>
      <c r="F89" s="24">
        <f t="shared" si="1"/>
        <v>1</v>
      </c>
      <c r="G89" s="6"/>
      <c r="H89" s="6" t="s">
        <v>245</v>
      </c>
      <c r="I89" s="6" t="s">
        <v>17</v>
      </c>
      <c r="J89" s="6" t="s">
        <v>491</v>
      </c>
      <c r="K89" s="8" t="s">
        <v>492</v>
      </c>
      <c r="L89" s="6" t="s">
        <v>586</v>
      </c>
      <c r="M89" s="6" t="s">
        <v>20</v>
      </c>
      <c r="N89" s="6" t="s">
        <v>493</v>
      </c>
      <c r="O89" s="6" t="s">
        <v>494</v>
      </c>
      <c r="P89" s="6" t="s">
        <v>495</v>
      </c>
      <c r="Q89" s="8"/>
    </row>
    <row r="90" spans="1:17" ht="72" x14ac:dyDescent="0.3">
      <c r="A90" s="6" t="s">
        <v>496</v>
      </c>
      <c r="B90" s="6" t="s">
        <v>497</v>
      </c>
      <c r="C90" s="6"/>
      <c r="D90" s="6" t="s">
        <v>592</v>
      </c>
      <c r="E90" s="6" t="s">
        <v>16</v>
      </c>
      <c r="F90" s="24">
        <f t="shared" si="1"/>
        <v>0</v>
      </c>
      <c r="G90" s="6"/>
      <c r="H90" s="6" t="s">
        <v>16</v>
      </c>
      <c r="I90" s="6" t="s">
        <v>17</v>
      </c>
      <c r="J90" s="6" t="s">
        <v>41</v>
      </c>
      <c r="K90" s="8" t="s">
        <v>498</v>
      </c>
      <c r="L90" s="6" t="s">
        <v>587</v>
      </c>
      <c r="M90" s="6" t="s">
        <v>20</v>
      </c>
      <c r="N90" s="6" t="s">
        <v>130</v>
      </c>
      <c r="O90" s="6" t="s">
        <v>499</v>
      </c>
      <c r="P90" s="6" t="s">
        <v>500</v>
      </c>
      <c r="Q90" s="8"/>
    </row>
    <row r="91" spans="1:17" s="2" customFormat="1" ht="172.8" x14ac:dyDescent="0.3">
      <c r="A91" s="9" t="s">
        <v>501</v>
      </c>
      <c r="B91" s="10" t="s">
        <v>502</v>
      </c>
      <c r="C91" s="9"/>
      <c r="D91" s="6" t="s">
        <v>38</v>
      </c>
      <c r="E91" s="6" t="s">
        <v>39</v>
      </c>
      <c r="F91" s="25">
        <f t="shared" si="1"/>
        <v>1</v>
      </c>
      <c r="G91" s="10" t="s">
        <v>817</v>
      </c>
      <c r="H91" s="9" t="s">
        <v>16</v>
      </c>
      <c r="I91" s="9" t="s">
        <v>17</v>
      </c>
      <c r="J91" s="9" t="s">
        <v>491</v>
      </c>
      <c r="K91" s="11" t="s">
        <v>503</v>
      </c>
      <c r="L91" s="9" t="s">
        <v>588</v>
      </c>
      <c r="M91" s="9" t="s">
        <v>20</v>
      </c>
      <c r="N91" s="9" t="s">
        <v>115</v>
      </c>
      <c r="O91" s="9" t="s">
        <v>504</v>
      </c>
      <c r="P91" s="9" t="s">
        <v>505</v>
      </c>
      <c r="Q91" s="11"/>
    </row>
    <row r="92" spans="1:17" ht="72" x14ac:dyDescent="0.3">
      <c r="A92" s="6" t="s">
        <v>601</v>
      </c>
      <c r="B92" s="6" t="s">
        <v>602</v>
      </c>
      <c r="C92" s="6"/>
      <c r="D92" s="6" t="s">
        <v>38</v>
      </c>
      <c r="E92" s="6" t="s">
        <v>39</v>
      </c>
      <c r="F92" s="24">
        <f t="shared" si="1"/>
        <v>1</v>
      </c>
      <c r="G92" s="6"/>
      <c r="H92" s="6" t="s">
        <v>17</v>
      </c>
      <c r="I92" s="6" t="s">
        <v>41</v>
      </c>
      <c r="J92" s="6" t="s">
        <v>603</v>
      </c>
      <c r="K92" s="8" t="s">
        <v>604</v>
      </c>
      <c r="L92" s="6" t="s">
        <v>605</v>
      </c>
      <c r="M92" s="6" t="s">
        <v>20</v>
      </c>
      <c r="N92" s="6" t="s">
        <v>43</v>
      </c>
      <c r="O92" s="6" t="s">
        <v>606</v>
      </c>
      <c r="P92" s="6" t="s">
        <v>266</v>
      </c>
      <c r="Q92" s="8"/>
    </row>
    <row r="93" spans="1:17" s="2" customFormat="1" ht="144" x14ac:dyDescent="0.3">
      <c r="A93" s="9" t="s">
        <v>607</v>
      </c>
      <c r="B93" s="10" t="s">
        <v>608</v>
      </c>
      <c r="C93" s="9"/>
      <c r="D93" s="6" t="s">
        <v>38</v>
      </c>
      <c r="E93" s="6" t="s">
        <v>39</v>
      </c>
      <c r="F93" s="24">
        <f t="shared" si="1"/>
        <v>1</v>
      </c>
      <c r="G93" s="9" t="s">
        <v>802</v>
      </c>
      <c r="H93" s="9" t="s">
        <v>201</v>
      </c>
      <c r="I93" s="9" t="s">
        <v>16</v>
      </c>
      <c r="J93" s="9" t="s">
        <v>609</v>
      </c>
      <c r="K93" s="11" t="s">
        <v>34</v>
      </c>
      <c r="L93" s="9" t="s">
        <v>610</v>
      </c>
      <c r="M93" s="9" t="s">
        <v>43</v>
      </c>
      <c r="N93" s="9" t="s">
        <v>57</v>
      </c>
      <c r="O93" s="9" t="s">
        <v>293</v>
      </c>
      <c r="P93" s="9" t="s">
        <v>611</v>
      </c>
      <c r="Q93" s="11"/>
    </row>
    <row r="94" spans="1:17" ht="144" x14ac:dyDescent="0.3">
      <c r="A94" s="6" t="s">
        <v>612</v>
      </c>
      <c r="B94" s="6" t="s">
        <v>613</v>
      </c>
      <c r="C94" s="6"/>
      <c r="D94" s="6" t="s">
        <v>38</v>
      </c>
      <c r="E94" s="6" t="s">
        <v>39</v>
      </c>
      <c r="F94" s="24">
        <f t="shared" si="1"/>
        <v>1</v>
      </c>
      <c r="G94" s="6" t="s">
        <v>245</v>
      </c>
      <c r="H94" s="6" t="s">
        <v>17</v>
      </c>
      <c r="I94" s="6" t="s">
        <v>491</v>
      </c>
      <c r="J94" s="6" t="s">
        <v>614</v>
      </c>
      <c r="K94" s="8" t="s">
        <v>110</v>
      </c>
      <c r="L94" s="6" t="s">
        <v>615</v>
      </c>
      <c r="M94" s="6" t="s">
        <v>43</v>
      </c>
      <c r="N94" s="6" t="s">
        <v>57</v>
      </c>
      <c r="O94" s="6" t="s">
        <v>616</v>
      </c>
      <c r="P94" s="6" t="s">
        <v>617</v>
      </c>
      <c r="Q94" s="8"/>
    </row>
    <row r="95" spans="1:17" ht="72" x14ac:dyDescent="0.3">
      <c r="A95" s="6" t="s">
        <v>618</v>
      </c>
      <c r="B95" s="6" t="s">
        <v>619</v>
      </c>
      <c r="C95" s="6"/>
      <c r="D95" s="6" t="s">
        <v>38</v>
      </c>
      <c r="E95" s="6" t="s">
        <v>39</v>
      </c>
      <c r="F95" s="24">
        <f t="shared" si="1"/>
        <v>1</v>
      </c>
      <c r="G95" s="6" t="s">
        <v>245</v>
      </c>
      <c r="H95" s="6" t="s">
        <v>17</v>
      </c>
      <c r="I95" s="6" t="s">
        <v>41</v>
      </c>
      <c r="J95" s="6" t="s">
        <v>620</v>
      </c>
      <c r="K95" s="8" t="s">
        <v>621</v>
      </c>
      <c r="L95" s="6" t="s">
        <v>622</v>
      </c>
      <c r="M95" s="6" t="s">
        <v>43</v>
      </c>
      <c r="N95" s="6"/>
      <c r="O95" s="6" t="s">
        <v>623</v>
      </c>
      <c r="P95" s="6"/>
      <c r="Q95" s="8"/>
    </row>
    <row r="96" spans="1:17" ht="72" x14ac:dyDescent="0.3">
      <c r="A96" s="6" t="s">
        <v>624</v>
      </c>
      <c r="B96" s="6" t="s">
        <v>625</v>
      </c>
      <c r="C96" s="6"/>
      <c r="D96" s="6" t="s">
        <v>38</v>
      </c>
      <c r="E96" s="6" t="s">
        <v>39</v>
      </c>
      <c r="F96" s="24">
        <f t="shared" si="1"/>
        <v>1</v>
      </c>
      <c r="G96" s="6" t="s">
        <v>245</v>
      </c>
      <c r="H96" s="6" t="s">
        <v>17</v>
      </c>
      <c r="I96" s="6" t="s">
        <v>41</v>
      </c>
      <c r="J96" s="6" t="s">
        <v>626</v>
      </c>
      <c r="K96" s="8" t="s">
        <v>627</v>
      </c>
      <c r="L96" s="6" t="s">
        <v>628</v>
      </c>
      <c r="M96" s="6" t="s">
        <v>43</v>
      </c>
      <c r="N96" s="6"/>
      <c r="O96" s="6" t="s">
        <v>629</v>
      </c>
      <c r="P96" s="6"/>
      <c r="Q96" s="8"/>
    </row>
    <row r="97" spans="1:17" ht="374.4" x14ac:dyDescent="0.3">
      <c r="A97" s="6" t="s">
        <v>630</v>
      </c>
      <c r="B97" s="6" t="s">
        <v>631</v>
      </c>
      <c r="C97" s="6"/>
      <c r="D97" s="6" t="s">
        <v>269</v>
      </c>
      <c r="E97" s="6" t="s">
        <v>270</v>
      </c>
      <c r="F97" s="24">
        <f t="shared" si="1"/>
        <v>1</v>
      </c>
      <c r="G97" s="6" t="s">
        <v>632</v>
      </c>
      <c r="H97" s="6" t="s">
        <v>325</v>
      </c>
      <c r="I97" s="6" t="s">
        <v>633</v>
      </c>
      <c r="J97" s="6" t="s">
        <v>634</v>
      </c>
      <c r="K97" s="8" t="s">
        <v>635</v>
      </c>
      <c r="L97" s="6" t="s">
        <v>636</v>
      </c>
      <c r="M97" s="6" t="s">
        <v>66</v>
      </c>
      <c r="N97" s="6" t="s">
        <v>25</v>
      </c>
      <c r="O97" s="6" t="s">
        <v>637</v>
      </c>
      <c r="P97" s="6" t="s">
        <v>638</v>
      </c>
      <c r="Q97" s="8"/>
    </row>
    <row r="98" spans="1:17" ht="158.4" x14ac:dyDescent="0.3">
      <c r="A98" s="6" t="s">
        <v>639</v>
      </c>
      <c r="B98" s="6" t="s">
        <v>640</v>
      </c>
      <c r="C98" s="6"/>
      <c r="D98" s="6" t="s">
        <v>38</v>
      </c>
      <c r="E98" s="6" t="s">
        <v>270</v>
      </c>
      <c r="F98" s="24">
        <f t="shared" si="1"/>
        <v>1</v>
      </c>
      <c r="G98" s="6"/>
      <c r="H98" s="6" t="s">
        <v>641</v>
      </c>
      <c r="I98" s="6" t="s">
        <v>64</v>
      </c>
      <c r="J98" s="6" t="s">
        <v>642</v>
      </c>
      <c r="K98" s="8" t="s">
        <v>643</v>
      </c>
      <c r="L98" s="6" t="s">
        <v>644</v>
      </c>
      <c r="M98" s="6" t="s">
        <v>66</v>
      </c>
      <c r="N98" s="6" t="s">
        <v>645</v>
      </c>
      <c r="O98" s="6" t="s">
        <v>646</v>
      </c>
      <c r="P98" s="6" t="s">
        <v>647</v>
      </c>
      <c r="Q98" s="8"/>
    </row>
    <row r="99" spans="1:17" s="2" customFormat="1" ht="129.6" x14ac:dyDescent="0.3">
      <c r="A99" s="9" t="s">
        <v>648</v>
      </c>
      <c r="B99" s="10" t="s">
        <v>649</v>
      </c>
      <c r="C99" s="9"/>
      <c r="D99" s="9" t="s">
        <v>596</v>
      </c>
      <c r="E99" s="9" t="s">
        <v>16</v>
      </c>
      <c r="F99" s="24">
        <f t="shared" si="1"/>
        <v>0</v>
      </c>
      <c r="G99" s="9" t="s">
        <v>803</v>
      </c>
      <c r="H99" s="9" t="s">
        <v>17</v>
      </c>
      <c r="I99" s="9" t="s">
        <v>650</v>
      </c>
      <c r="J99" s="9" t="s">
        <v>651</v>
      </c>
      <c r="K99" s="11" t="s">
        <v>652</v>
      </c>
      <c r="L99" s="9" t="s">
        <v>653</v>
      </c>
      <c r="M99" s="9" t="s">
        <v>287</v>
      </c>
      <c r="N99" s="9"/>
      <c r="O99" s="9" t="s">
        <v>654</v>
      </c>
      <c r="P99" s="9"/>
      <c r="Q99" s="11"/>
    </row>
    <row r="100" spans="1:17" ht="144" x14ac:dyDescent="0.3">
      <c r="A100" s="6" t="s">
        <v>655</v>
      </c>
      <c r="B100" s="6" t="s">
        <v>656</v>
      </c>
      <c r="C100" s="6"/>
      <c r="D100" s="6" t="s">
        <v>592</v>
      </c>
      <c r="E100" s="6" t="s">
        <v>16</v>
      </c>
      <c r="F100" s="24">
        <f t="shared" si="1"/>
        <v>0</v>
      </c>
      <c r="G100" s="6" t="s">
        <v>16</v>
      </c>
      <c r="H100" s="6" t="s">
        <v>17</v>
      </c>
      <c r="I100" s="6" t="s">
        <v>491</v>
      </c>
      <c r="J100" s="6" t="s">
        <v>657</v>
      </c>
      <c r="K100" s="8" t="s">
        <v>658</v>
      </c>
      <c r="L100" s="6" t="s">
        <v>659</v>
      </c>
      <c r="M100" s="6" t="s">
        <v>20</v>
      </c>
      <c r="N100" s="6"/>
      <c r="O100" s="6" t="s">
        <v>660</v>
      </c>
      <c r="P100" s="6"/>
      <c r="Q100" s="8"/>
    </row>
    <row r="101" spans="1:17" s="2" customFormat="1" ht="374.4" x14ac:dyDescent="0.3">
      <c r="A101" s="9" t="s">
        <v>661</v>
      </c>
      <c r="B101" s="10" t="s">
        <v>662</v>
      </c>
      <c r="C101" s="9" t="s">
        <v>804</v>
      </c>
      <c r="D101" s="6" t="s">
        <v>38</v>
      </c>
      <c r="E101" s="6" t="s">
        <v>39</v>
      </c>
      <c r="F101" s="24">
        <f t="shared" si="1"/>
        <v>1</v>
      </c>
      <c r="G101" s="9" t="s">
        <v>805</v>
      </c>
      <c r="H101" s="9" t="s">
        <v>17</v>
      </c>
      <c r="I101" s="9" t="s">
        <v>663</v>
      </c>
      <c r="J101" s="9" t="s">
        <v>664</v>
      </c>
      <c r="K101" s="11" t="s">
        <v>665</v>
      </c>
      <c r="L101" s="9" t="s">
        <v>666</v>
      </c>
      <c r="M101" s="9" t="s">
        <v>20</v>
      </c>
      <c r="N101" s="9"/>
      <c r="O101" s="9" t="s">
        <v>667</v>
      </c>
      <c r="P101" s="9"/>
      <c r="Q101" s="11"/>
    </row>
    <row r="102" spans="1:17" s="2" customFormat="1" ht="144" x14ac:dyDescent="0.3">
      <c r="A102" s="9" t="s">
        <v>668</v>
      </c>
      <c r="B102" s="10" t="s">
        <v>669</v>
      </c>
      <c r="C102" s="9"/>
      <c r="D102" s="6" t="s">
        <v>38</v>
      </c>
      <c r="E102" s="6" t="s">
        <v>39</v>
      </c>
      <c r="F102" s="24">
        <f t="shared" si="1"/>
        <v>1</v>
      </c>
      <c r="G102" s="9" t="s">
        <v>806</v>
      </c>
      <c r="H102" s="9" t="s">
        <v>17</v>
      </c>
      <c r="I102" s="9" t="s">
        <v>670</v>
      </c>
      <c r="J102" s="9" t="s">
        <v>671</v>
      </c>
      <c r="K102" s="11" t="s">
        <v>409</v>
      </c>
      <c r="L102" s="9" t="s">
        <v>672</v>
      </c>
      <c r="M102" s="9" t="s">
        <v>20</v>
      </c>
      <c r="N102" s="9"/>
      <c r="O102" s="9" t="s">
        <v>673</v>
      </c>
      <c r="P102" s="9"/>
      <c r="Q102" s="11"/>
    </row>
    <row r="103" spans="1:17" ht="115.2" x14ac:dyDescent="0.3">
      <c r="A103" s="6" t="s">
        <v>674</v>
      </c>
      <c r="B103" s="7" t="s">
        <v>675</v>
      </c>
      <c r="C103" s="7"/>
      <c r="D103" s="6" t="s">
        <v>592</v>
      </c>
      <c r="E103" s="6"/>
      <c r="F103" s="24">
        <f t="shared" si="1"/>
        <v>0</v>
      </c>
      <c r="G103" s="6" t="s">
        <v>16</v>
      </c>
      <c r="H103" s="6" t="s">
        <v>17</v>
      </c>
      <c r="I103" s="6" t="s">
        <v>41</v>
      </c>
      <c r="J103" s="6" t="s">
        <v>676</v>
      </c>
      <c r="K103" s="14">
        <v>37966</v>
      </c>
      <c r="L103" s="6" t="s">
        <v>677</v>
      </c>
      <c r="M103" s="6" t="s">
        <v>20</v>
      </c>
      <c r="N103" s="6"/>
      <c r="O103" s="6" t="s">
        <v>678</v>
      </c>
      <c r="P103" s="6"/>
      <c r="Q103" s="8"/>
    </row>
    <row r="104" spans="1:17" s="2" customFormat="1" ht="244.8" x14ac:dyDescent="0.3">
      <c r="A104" s="9" t="s">
        <v>679</v>
      </c>
      <c r="B104" s="10" t="s">
        <v>680</v>
      </c>
      <c r="C104" s="9"/>
      <c r="D104" s="6" t="s">
        <v>38</v>
      </c>
      <c r="E104" s="6" t="s">
        <v>39</v>
      </c>
      <c r="F104" s="24">
        <f t="shared" si="1"/>
        <v>1</v>
      </c>
      <c r="G104" s="9" t="s">
        <v>807</v>
      </c>
      <c r="H104" s="9" t="s">
        <v>17</v>
      </c>
      <c r="I104" s="9" t="s">
        <v>681</v>
      </c>
      <c r="J104" s="9" t="s">
        <v>682</v>
      </c>
      <c r="K104" s="11" t="s">
        <v>683</v>
      </c>
      <c r="L104" s="9" t="s">
        <v>684</v>
      </c>
      <c r="M104" s="9" t="s">
        <v>20</v>
      </c>
      <c r="N104" s="9" t="s">
        <v>43</v>
      </c>
      <c r="O104" s="9" t="s">
        <v>685</v>
      </c>
      <c r="P104" s="9" t="s">
        <v>101</v>
      </c>
      <c r="Q104" s="11"/>
    </row>
    <row r="105" spans="1:17" s="2" customFormat="1" ht="374.4" x14ac:dyDescent="0.3">
      <c r="A105" s="9" t="s">
        <v>686</v>
      </c>
      <c r="B105" s="10" t="s">
        <v>687</v>
      </c>
      <c r="C105" s="9"/>
      <c r="D105" s="6" t="s">
        <v>38</v>
      </c>
      <c r="E105" s="6" t="s">
        <v>39</v>
      </c>
      <c r="F105" s="24">
        <f t="shared" si="1"/>
        <v>1</v>
      </c>
      <c r="G105" s="9" t="s">
        <v>808</v>
      </c>
      <c r="H105" s="9" t="s">
        <v>17</v>
      </c>
      <c r="I105" s="9" t="s">
        <v>663</v>
      </c>
      <c r="J105" s="9" t="s">
        <v>688</v>
      </c>
      <c r="K105" s="11" t="s">
        <v>689</v>
      </c>
      <c r="L105" s="9" t="s">
        <v>690</v>
      </c>
      <c r="M105" s="9" t="s">
        <v>20</v>
      </c>
      <c r="N105" s="9" t="s">
        <v>43</v>
      </c>
      <c r="O105" s="9" t="s">
        <v>691</v>
      </c>
      <c r="P105" s="9" t="s">
        <v>469</v>
      </c>
      <c r="Q105" s="11"/>
    </row>
    <row r="106" spans="1:17" ht="144" x14ac:dyDescent="0.3">
      <c r="A106" s="6" t="s">
        <v>692</v>
      </c>
      <c r="B106" s="6" t="s">
        <v>693</v>
      </c>
      <c r="C106" s="6"/>
      <c r="D106" s="6" t="s">
        <v>38</v>
      </c>
      <c r="E106" s="6" t="s">
        <v>39</v>
      </c>
      <c r="F106" s="24">
        <f t="shared" si="1"/>
        <v>1</v>
      </c>
      <c r="G106" s="6"/>
      <c r="H106" s="6" t="s">
        <v>17</v>
      </c>
      <c r="I106" s="6" t="s">
        <v>41</v>
      </c>
      <c r="J106" s="6" t="s">
        <v>694</v>
      </c>
      <c r="K106" s="8" t="s">
        <v>695</v>
      </c>
      <c r="L106" s="6" t="s">
        <v>696</v>
      </c>
      <c r="M106" s="6" t="s">
        <v>20</v>
      </c>
      <c r="N106" s="6" t="s">
        <v>115</v>
      </c>
      <c r="O106" s="6" t="s">
        <v>697</v>
      </c>
      <c r="P106" s="6" t="s">
        <v>698</v>
      </c>
      <c r="Q106" s="8"/>
    </row>
    <row r="107" spans="1:17" s="2" customFormat="1" ht="357.6" customHeight="1" x14ac:dyDescent="0.3">
      <c r="A107" s="9" t="s">
        <v>699</v>
      </c>
      <c r="B107" s="10" t="s">
        <v>700</v>
      </c>
      <c r="C107" s="9"/>
      <c r="D107" s="6" t="s">
        <v>38</v>
      </c>
      <c r="E107" s="6" t="s">
        <v>39</v>
      </c>
      <c r="F107" s="24">
        <f t="shared" si="1"/>
        <v>1</v>
      </c>
      <c r="G107" s="9" t="s">
        <v>809</v>
      </c>
      <c r="H107" s="9" t="s">
        <v>292</v>
      </c>
      <c r="I107" s="9" t="s">
        <v>16</v>
      </c>
      <c r="J107" s="9" t="s">
        <v>701</v>
      </c>
      <c r="K107" s="11" t="s">
        <v>702</v>
      </c>
      <c r="L107" s="9" t="s">
        <v>703</v>
      </c>
      <c r="M107" s="9" t="s">
        <v>43</v>
      </c>
      <c r="N107" s="9"/>
      <c r="O107" s="9" t="s">
        <v>704</v>
      </c>
      <c r="P107" s="9"/>
      <c r="Q107" s="11"/>
    </row>
    <row r="108" spans="1:17" s="2" customFormat="1" ht="144" x14ac:dyDescent="0.3">
      <c r="A108" s="9" t="s">
        <v>705</v>
      </c>
      <c r="B108" s="10" t="s">
        <v>706</v>
      </c>
      <c r="C108" s="9"/>
      <c r="D108" s="6" t="s">
        <v>38</v>
      </c>
      <c r="E108" s="6" t="s">
        <v>39</v>
      </c>
      <c r="F108" s="24">
        <f t="shared" si="1"/>
        <v>1</v>
      </c>
      <c r="G108" s="9" t="s">
        <v>810</v>
      </c>
      <c r="H108" s="9" t="s">
        <v>707</v>
      </c>
      <c r="I108" s="9" t="s">
        <v>16</v>
      </c>
      <c r="J108" s="9" t="s">
        <v>708</v>
      </c>
      <c r="K108" s="11" t="s">
        <v>709</v>
      </c>
      <c r="L108" s="9" t="s">
        <v>710</v>
      </c>
      <c r="M108" s="9" t="s">
        <v>43</v>
      </c>
      <c r="N108" s="9" t="s">
        <v>57</v>
      </c>
      <c r="O108" s="9" t="s">
        <v>293</v>
      </c>
      <c r="P108" s="9" t="s">
        <v>711</v>
      </c>
      <c r="Q108" s="11"/>
    </row>
    <row r="109" spans="1:17" ht="151.19999999999999" customHeight="1" x14ac:dyDescent="0.3">
      <c r="A109" s="6" t="s">
        <v>712</v>
      </c>
      <c r="B109" s="7" t="s">
        <v>713</v>
      </c>
      <c r="C109" s="6"/>
      <c r="D109" s="6" t="s">
        <v>38</v>
      </c>
      <c r="E109" s="6" t="s">
        <v>39</v>
      </c>
      <c r="F109" s="24">
        <f t="shared" si="1"/>
        <v>1</v>
      </c>
      <c r="G109" s="6" t="s">
        <v>811</v>
      </c>
      <c r="H109" s="6" t="s">
        <v>17</v>
      </c>
      <c r="I109" s="6" t="s">
        <v>231</v>
      </c>
      <c r="J109" s="6" t="s">
        <v>714</v>
      </c>
      <c r="K109" s="8" t="s">
        <v>689</v>
      </c>
      <c r="L109" s="6" t="s">
        <v>715</v>
      </c>
      <c r="M109" s="6" t="s">
        <v>43</v>
      </c>
      <c r="N109" s="6"/>
      <c r="O109" s="6" t="s">
        <v>716</v>
      </c>
      <c r="P109" s="6"/>
      <c r="Q109" s="8"/>
    </row>
    <row r="110" spans="1:17" ht="100.8" x14ac:dyDescent="0.3">
      <c r="A110" s="6" t="s">
        <v>717</v>
      </c>
      <c r="B110" s="6" t="s">
        <v>718</v>
      </c>
      <c r="C110" s="6"/>
      <c r="D110" s="6" t="s">
        <v>38</v>
      </c>
      <c r="E110" s="6" t="s">
        <v>39</v>
      </c>
      <c r="F110" s="24">
        <f t="shared" si="1"/>
        <v>1</v>
      </c>
      <c r="G110" s="6" t="s">
        <v>719</v>
      </c>
      <c r="H110" s="6" t="s">
        <v>17</v>
      </c>
      <c r="I110" s="6" t="s">
        <v>41</v>
      </c>
      <c r="J110" s="6" t="s">
        <v>720</v>
      </c>
      <c r="K110" s="8" t="s">
        <v>721</v>
      </c>
      <c r="L110" s="6" t="s">
        <v>722</v>
      </c>
      <c r="M110" s="6" t="s">
        <v>43</v>
      </c>
      <c r="N110" s="6" t="s">
        <v>57</v>
      </c>
      <c r="O110" s="6" t="s">
        <v>723</v>
      </c>
      <c r="P110" s="6" t="s">
        <v>724</v>
      </c>
      <c r="Q110" s="8"/>
    </row>
    <row r="111" spans="1:17" ht="72" x14ac:dyDescent="0.3">
      <c r="A111" s="6" t="s">
        <v>725</v>
      </c>
      <c r="B111" s="7" t="s">
        <v>726</v>
      </c>
      <c r="C111" s="7"/>
      <c r="D111" s="6" t="s">
        <v>592</v>
      </c>
      <c r="E111" s="6"/>
      <c r="F111" s="24">
        <f t="shared" si="1"/>
        <v>0</v>
      </c>
      <c r="G111" s="6"/>
      <c r="H111" s="6"/>
      <c r="I111" s="6"/>
      <c r="J111" s="6"/>
      <c r="K111" s="14">
        <v>45611</v>
      </c>
      <c r="L111" s="6"/>
      <c r="M111" s="6" t="s">
        <v>43</v>
      </c>
      <c r="N111" s="6"/>
      <c r="O111" s="6" t="s">
        <v>727</v>
      </c>
      <c r="P111" s="6"/>
      <c r="Q111" s="8" t="s">
        <v>84</v>
      </c>
    </row>
    <row r="112" spans="1:17" ht="72" x14ac:dyDescent="0.3">
      <c r="A112" s="6" t="s">
        <v>728</v>
      </c>
      <c r="B112" s="6" t="s">
        <v>729</v>
      </c>
      <c r="C112" s="6"/>
      <c r="D112" s="6" t="s">
        <v>38</v>
      </c>
      <c r="E112" s="6" t="s">
        <v>39</v>
      </c>
      <c r="F112" s="24">
        <f t="shared" si="1"/>
        <v>1</v>
      </c>
      <c r="G112" s="6"/>
      <c r="H112" s="6"/>
      <c r="I112" s="6"/>
      <c r="J112" s="6"/>
      <c r="K112" s="8"/>
      <c r="L112" s="6"/>
      <c r="M112" s="6" t="s">
        <v>57</v>
      </c>
      <c r="N112" s="6"/>
      <c r="O112" s="6" t="s">
        <v>730</v>
      </c>
      <c r="P112" s="6"/>
      <c r="Q112" s="8"/>
    </row>
    <row r="113" spans="1:17" ht="72" x14ac:dyDescent="0.3">
      <c r="A113" s="6" t="s">
        <v>731</v>
      </c>
      <c r="B113" s="6" t="s">
        <v>732</v>
      </c>
      <c r="C113" s="6"/>
      <c r="D113" s="6" t="s">
        <v>418</v>
      </c>
      <c r="E113" s="6" t="s">
        <v>733</v>
      </c>
      <c r="F113" s="24">
        <f t="shared" si="1"/>
        <v>0</v>
      </c>
      <c r="G113" s="6" t="s">
        <v>16</v>
      </c>
      <c r="H113" s="6" t="s">
        <v>17</v>
      </c>
      <c r="I113" s="6" t="s">
        <v>419</v>
      </c>
      <c r="J113" s="6" t="s">
        <v>734</v>
      </c>
      <c r="K113" s="8" t="s">
        <v>735</v>
      </c>
      <c r="L113" s="6" t="s">
        <v>736</v>
      </c>
      <c r="M113" s="6" t="s">
        <v>57</v>
      </c>
      <c r="N113" s="6" t="s">
        <v>421</v>
      </c>
      <c r="O113" s="6" t="s">
        <v>737</v>
      </c>
      <c r="P113" s="6" t="s">
        <v>738</v>
      </c>
      <c r="Q113" s="8"/>
    </row>
    <row r="114" spans="1:17" x14ac:dyDescent="0.3">
      <c r="F114" s="26">
        <f>AVERAGE(F2:F113)</f>
        <v>0.76576576576576572</v>
      </c>
    </row>
  </sheetData>
  <conditionalFormatting sqref="F2:F21 F23:F113">
    <cfRule type="colorScale" priority="1">
      <colorScale>
        <cfvo type="min"/>
        <cfvo type="percentile" val="50"/>
        <cfvo type="max"/>
        <color rgb="FFF8696B"/>
        <color rgb="FFFFEB84"/>
        <color rgb="FF63BE7B"/>
      </colorScale>
    </cfRule>
  </conditionalFormatting>
  <hyperlinks>
    <hyperlink ref="B6" r:id="rId1" xr:uid="{ACA76844-3406-40F1-A7CF-F6BB2955EB44}"/>
    <hyperlink ref="B5" r:id="rId2" xr:uid="{70A38448-8397-4E5B-B38F-D30F298CBF51}"/>
    <hyperlink ref="B2" r:id="rId3" xr:uid="{C3ACB432-CC6D-41BF-B4DD-462BB4CB80E8}"/>
    <hyperlink ref="B3" r:id="rId4" xr:uid="{DC959B91-B35D-4A73-9DA7-C8ED51FFD242}"/>
    <hyperlink ref="B4" r:id="rId5" xr:uid="{90411538-D575-44F9-BDEC-77F0ADFD9893}"/>
    <hyperlink ref="B12" r:id="rId6" xr:uid="{8FF53B48-472A-41EE-B7DC-76B250300AE7}"/>
    <hyperlink ref="B11" r:id="rId7" xr:uid="{84696D4B-23B0-4475-BB37-F91369B36424}"/>
    <hyperlink ref="B13" r:id="rId8" xr:uid="{49A2C4C0-9DC4-42FB-A0AE-A85DB646C035}"/>
    <hyperlink ref="B14" r:id="rId9" xr:uid="{D4DCBB64-9D40-4D6D-A895-DC8526B8CB55}"/>
    <hyperlink ref="B15" r:id="rId10" xr:uid="{291CB08C-46CD-4CF0-937D-000C34B0C89B}"/>
    <hyperlink ref="B16" r:id="rId11" xr:uid="{4D595234-BBA2-4533-AD56-A0F2E86F2B4F}"/>
    <hyperlink ref="B17" r:id="rId12" xr:uid="{1F4C2D45-22C6-41CD-851C-AAE3A4D64690}"/>
    <hyperlink ref="B21" r:id="rId13" xr:uid="{9264B6D9-7254-417D-901D-1E862F7C39E9}"/>
    <hyperlink ref="B22" r:id="rId14" xr:uid="{F654D09F-D4C1-440E-A98C-6D6333D67D13}"/>
    <hyperlink ref="B23" r:id="rId15" xr:uid="{BF5122ED-1296-4F9B-930D-3D40EA0F8CD3}"/>
    <hyperlink ref="B25" r:id="rId16" xr:uid="{0345C898-CA56-4F5C-B1CE-16E5B2AA8A2E}"/>
    <hyperlink ref="B26" r:id="rId17" xr:uid="{2AB6FBA1-AE2A-4A56-A950-A639ACD2525D}"/>
    <hyperlink ref="B31" r:id="rId18" xr:uid="{A2CFCEDD-1B10-4CFA-B57B-1DFB628A7B08}"/>
    <hyperlink ref="B32" r:id="rId19" xr:uid="{8C69FF46-D290-4544-9EF2-27CF5F109B5C}"/>
    <hyperlink ref="B33" r:id="rId20" xr:uid="{4A009C6F-4F96-4CA7-9476-031DB36D7C7B}"/>
    <hyperlink ref="B34" r:id="rId21" xr:uid="{88A5E7BF-1E42-457F-866B-EAA9236A7E47}"/>
    <hyperlink ref="B35" r:id="rId22" xr:uid="{40B6C03F-66FE-4BB2-91C8-C60734E4773E}"/>
    <hyperlink ref="B37" r:id="rId23" xr:uid="{D309FFB0-9190-45CD-9BED-DA061BFAB8E8}"/>
    <hyperlink ref="B36" r:id="rId24" xr:uid="{E00C75AB-AF37-4258-96A5-BFD40E7E3575}"/>
    <hyperlink ref="B40" r:id="rId25" xr:uid="{422F4868-FD78-4E5D-8BD9-DE3C6A1A9798}"/>
    <hyperlink ref="B43" r:id="rId26" xr:uid="{2CF7A846-8468-4FA1-BD24-BFDA9AC4D8C9}"/>
    <hyperlink ref="B44" r:id="rId27" xr:uid="{F6A09431-5BC9-4792-85C6-C26C1D02B673}"/>
    <hyperlink ref="B45" r:id="rId28" xr:uid="{CF3AF1FF-0739-447C-89EE-FA90E825995F}"/>
    <hyperlink ref="B84" r:id="rId29" xr:uid="{132DB790-5AE4-4DD6-A393-7B7C45C10A41}"/>
    <hyperlink ref="B83" r:id="rId30" xr:uid="{8C220314-0F80-477A-957C-43DA65F3FF0D}"/>
    <hyperlink ref="B103" r:id="rId31" xr:uid="{80888350-A1C8-4F88-A7AE-9C8CE5A6CD92}"/>
    <hyperlink ref="B111" r:id="rId32" xr:uid="{00BFA31C-7F5B-4143-B489-1ABF52B89E95}"/>
    <hyperlink ref="G12" r:id="rId33" xr:uid="{2203CA7D-8DC6-40BB-8492-312F81942519}"/>
    <hyperlink ref="B9" r:id="rId34" xr:uid="{09E9AF9F-B526-4DEC-B60B-F63569273DE5}"/>
    <hyperlink ref="G3" r:id="rId35" xr:uid="{1EEE3CB4-B90E-4AF9-8E4F-280BAF176E23}"/>
    <hyperlink ref="G4" r:id="rId36" xr:uid="{C17C4235-DFE1-4202-AD9B-B4050ED0E3B3}"/>
    <hyperlink ref="B42" r:id="rId37" xr:uid="{942613FA-03D5-4754-B025-AF922E4C04C6}"/>
    <hyperlink ref="B55" r:id="rId38" xr:uid="{F283AB26-1E9E-4127-BEA3-E035F7D526A9}"/>
    <hyperlink ref="B56" r:id="rId39" xr:uid="{3762409E-FBBF-4AF0-95FD-D73E2683D665}"/>
    <hyperlink ref="B57" r:id="rId40" xr:uid="{CE8FBC7F-A9E4-4ADA-B7A9-6859CD870F72}"/>
    <hyperlink ref="B60" r:id="rId41" xr:uid="{F4A1ABFE-E770-493C-9369-D659ECC51939}"/>
    <hyperlink ref="B61" r:id="rId42" xr:uid="{D780974E-D432-4012-8335-688E58AD32C3}"/>
    <hyperlink ref="B62" r:id="rId43" xr:uid="{A75B3954-CCDA-4292-8CBA-22C86F58481F}"/>
    <hyperlink ref="B63" r:id="rId44" xr:uid="{C20C9E85-5170-4810-83AB-EE5463C3C4E3}"/>
    <hyperlink ref="B64" r:id="rId45" xr:uid="{4E993F65-BE9E-4FB9-9B2E-F1EFBB395267}"/>
    <hyperlink ref="G35" r:id="rId46" display="https://www.sciencedirect.com/science/article/pii/S0926985103000855?pes=vor&amp;utm_source=scopus&amp;getft_integrator=scopus was published in 2003 (2 years before her PHD), she was listed as a PHD student at Faculty of physics. She also has another paper from that time with an insitutional affiliation abroad but she doesnt have a flag for a defence abroad. " xr:uid="{402B0BE9-0947-4F06-B101-57DEBE796F46}"/>
    <hyperlink ref="G33" r:id="rId47" xr:uid="{EF61C0FA-F19D-4C1C-9AD9-BD17B65C9FFA}"/>
    <hyperlink ref="B71" r:id="rId48" xr:uid="{6CBE842D-852E-4C40-BED0-6894DF1BC32C}"/>
    <hyperlink ref="B72" r:id="rId49" xr:uid="{4B4AA959-C6E2-45BA-A7A2-2129A8FD5579}"/>
    <hyperlink ref="C72" r:id="rId50" xr:uid="{D1238DED-D422-4AC8-B841-898A233260EC}"/>
    <hyperlink ref="B73" r:id="rId51" xr:uid="{CD1DB5E6-2A6F-457D-8338-7482447BD574}"/>
    <hyperlink ref="B74" r:id="rId52" xr:uid="{1EF69CB4-FCB5-4E90-9659-3D30FC7E9624}"/>
    <hyperlink ref="B75" r:id="rId53" xr:uid="{D92CF7A5-32B3-46E8-A146-21165277A32E}"/>
    <hyperlink ref="B79" r:id="rId54" xr:uid="{53024AA7-B31E-4E56-9FB1-849BEB193154}"/>
    <hyperlink ref="B81" r:id="rId55" xr:uid="{1C46CB44-CB9C-4D52-B004-4F2770FE1D94}"/>
    <hyperlink ref="B82" r:id="rId56" xr:uid="{E0CEF179-F56E-4648-BF9F-5F6D5723D11D}"/>
    <hyperlink ref="B86" r:id="rId57" xr:uid="{EA26ED2C-BF40-4B2B-B10E-138B1F2FB380}"/>
    <hyperlink ref="B87" r:id="rId58" xr:uid="{6336A5FA-D005-4D02-8F5E-DB10C16B8FA5}"/>
    <hyperlink ref="C87" r:id="rId59" xr:uid="{898A1109-460A-471F-BE78-AA0441356491}"/>
    <hyperlink ref="B88" r:id="rId60" xr:uid="{D7B4A545-7D0B-4F9D-A4EF-1B369F23526A}"/>
    <hyperlink ref="B93" r:id="rId61" xr:uid="{8E86E997-4053-4459-84C8-D6AD374C4672}"/>
    <hyperlink ref="B99" r:id="rId62" xr:uid="{BA2A6F5A-A283-48BE-8F22-7B584ADD07F6}"/>
    <hyperlink ref="B101" r:id="rId63" xr:uid="{8E9D82A0-F86B-4BB9-841A-E9A22BD81F90}"/>
    <hyperlink ref="B102" r:id="rId64" xr:uid="{6C8A25A7-7DF3-478A-957C-23CA3804B39D}"/>
    <hyperlink ref="B104" r:id="rId65" xr:uid="{DC5FA079-95DF-45AF-8D72-BC66BF2A7610}"/>
    <hyperlink ref="B105" r:id="rId66" xr:uid="{B9D73668-6F79-48C3-BF6C-C13E4161BD03}"/>
    <hyperlink ref="B107" r:id="rId67" xr:uid="{41135711-EB19-4572-B9C0-35536CF88E93}"/>
    <hyperlink ref="B108" r:id="rId68" xr:uid="{901225EB-F687-4473-AA7B-786BF44EC717}"/>
    <hyperlink ref="B109" r:id="rId69" xr:uid="{213480E7-D13C-4C47-80DC-F6D7593F86B2}"/>
    <hyperlink ref="B53" r:id="rId70" xr:uid="{D51847E0-C833-4C43-B075-5E48E9F2E702}"/>
    <hyperlink ref="B91" r:id="rId71" xr:uid="{4C8CF250-84AA-4329-B895-9F3DD6F3D778}"/>
    <hyperlink ref="G91" r:id="rId72" xr:uid="{1A617720-3333-4152-B6C2-238CA05A1858}"/>
    <hyperlink ref="B69" r:id="rId73" xr:uid="{06655E4F-F956-4E85-BB0A-D8D47CBDFF60}"/>
    <hyperlink ref="B70" r:id="rId74" xr:uid="{B860643A-EDEE-4DDB-A2D7-F673D0133792}"/>
  </hyperlinks>
  <pageMargins left="0.75" right="0.75" top="1" bottom="1" header="0.5" footer="0.5"/>
  <pageSetup paperSize="9" orientation="portrait" r:id="rId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AE3FF-02BC-4E53-ADB3-4383F43EA530}">
  <dimension ref="A1:E9"/>
  <sheetViews>
    <sheetView tabSelected="1" workbookViewId="0">
      <selection sqref="A1:A9"/>
    </sheetView>
  </sheetViews>
  <sheetFormatPr defaultRowHeight="14.4" x14ac:dyDescent="0.3"/>
  <cols>
    <col min="1" max="16384" width="8.88671875" style="4"/>
  </cols>
  <sheetData>
    <row r="1" spans="1:5" x14ac:dyDescent="0.3">
      <c r="A1" s="3" t="s">
        <v>739</v>
      </c>
      <c r="E1" s="5">
        <f>9/112</f>
        <v>8.0357142857142863E-2</v>
      </c>
    </row>
    <row r="2" spans="1:5" x14ac:dyDescent="0.3">
      <c r="A2" s="3" t="s">
        <v>740</v>
      </c>
    </row>
    <row r="3" spans="1:5" x14ac:dyDescent="0.3">
      <c r="A3" s="3" t="s">
        <v>741</v>
      </c>
    </row>
    <row r="4" spans="1:5" x14ac:dyDescent="0.3">
      <c r="A4" s="3" t="s">
        <v>742</v>
      </c>
    </row>
    <row r="5" spans="1:5" x14ac:dyDescent="0.3">
      <c r="A5" s="3" t="s">
        <v>743</v>
      </c>
    </row>
    <row r="6" spans="1:5" x14ac:dyDescent="0.3">
      <c r="A6" s="3" t="s">
        <v>744</v>
      </c>
    </row>
    <row r="7" spans="1:5" x14ac:dyDescent="0.3">
      <c r="A7" s="3" t="s">
        <v>745</v>
      </c>
    </row>
    <row r="8" spans="1:5" x14ac:dyDescent="0.3">
      <c r="A8" s="3" t="s">
        <v>746</v>
      </c>
    </row>
    <row r="9" spans="1:5" x14ac:dyDescent="0.3">
      <c r="A9" s="3" t="s">
        <v>747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main_df_FPhys</vt:lpstr>
      <vt:lpstr>defended_abroad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Stoycho Rusinov</cp:lastModifiedBy>
  <dcterms:created xsi:type="dcterms:W3CDTF">2026-03-01T13:18:13Z</dcterms:created>
  <dcterms:modified xsi:type="dcterms:W3CDTF">2026-04-04T08:34:24Z</dcterms:modified>
</cp:coreProperties>
</file>